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96" windowWidth="9996" windowHeight="7872"/>
  </bookViews>
  <sheets>
    <sheet name="Configuration" sheetId="17" r:id="rId1"/>
    <sheet name="Faults" sheetId="21" r:id="rId2"/>
    <sheet name="Relays" sheetId="22" r:id="rId3"/>
    <sheet name="1547" sheetId="23" r:id="rId4"/>
    <sheet name="TCC" sheetId="24" r:id="rId5"/>
  </sheets>
  <functionGroups/>
  <externalReferences>
    <externalReference r:id="rId6"/>
    <externalReference r:id="rId7"/>
  </externalReferences>
  <definedNames>
    <definedName name="BaseFile">Configuration!$B$2</definedName>
    <definedName name="DataPath">Configuration!$B$1</definedName>
    <definedName name="EndCol" localSheetId="3">[1]TCC!$L$24</definedName>
    <definedName name="EndCol" localSheetId="4">[1]TCC!$L$24</definedName>
    <definedName name="EndCol">[2]TCC!$L$24</definedName>
    <definedName name="EndRow" localSheetId="3">[1]TCC!$L$25</definedName>
    <definedName name="EndRow" localSheetId="4">[1]TCC!$L$25</definedName>
    <definedName name="EndRow">[2]TCC!$L$25</definedName>
    <definedName name="StartCol" localSheetId="3">[1]TCC!$L$22</definedName>
    <definedName name="StartCol" localSheetId="4">[1]TCC!$L$22</definedName>
    <definedName name="StartCol">[2]TCC!$L$22</definedName>
    <definedName name="StartRow" localSheetId="3">[1]TCC!$L$23</definedName>
    <definedName name="StartRow" localSheetId="4">[1]TCC!$L$23</definedName>
    <definedName name="StartRow">[2]TCC!$L$23</definedName>
  </definedNames>
  <calcPr calcId="125725"/>
</workbook>
</file>

<file path=xl/calcChain.xml><?xml version="1.0" encoding="utf-8"?>
<calcChain xmlns="http://schemas.openxmlformats.org/spreadsheetml/2006/main">
  <c r="D36" i="24"/>
  <c r="B36"/>
  <c r="D35"/>
  <c r="B35"/>
  <c r="D34"/>
  <c r="B34"/>
  <c r="D33"/>
  <c r="B33"/>
  <c r="D32"/>
  <c r="B32"/>
  <c r="D31"/>
  <c r="B31"/>
  <c r="D30"/>
  <c r="B30"/>
  <c r="D29"/>
  <c r="B29"/>
  <c r="D28"/>
  <c r="B28"/>
  <c r="D23"/>
  <c r="B23"/>
  <c r="D22"/>
  <c r="B22"/>
  <c r="D21"/>
  <c r="B21"/>
  <c r="D20"/>
  <c r="B20"/>
  <c r="D19"/>
  <c r="B19"/>
  <c r="D18"/>
  <c r="B18"/>
  <c r="D17"/>
  <c r="B17"/>
  <c r="D16"/>
  <c r="B16"/>
  <c r="B11"/>
  <c r="B10"/>
  <c r="B9"/>
  <c r="B8"/>
  <c r="B7"/>
  <c r="B6"/>
  <c r="B5"/>
  <c r="B4"/>
</calcChain>
</file>

<file path=xl/sharedStrings.xml><?xml version="1.0" encoding="utf-8"?>
<sst xmlns="http://schemas.openxmlformats.org/spreadsheetml/2006/main" count="293" uniqueCount="65">
  <si>
    <t>Path to data</t>
  </si>
  <si>
    <t>Base-case file name:</t>
  </si>
  <si>
    <t>Set these two cells to the directory and base-case file for the study.</t>
  </si>
  <si>
    <t>Type</t>
  </si>
  <si>
    <t>c:\ieee\papers\psce2011\</t>
  </si>
  <si>
    <t>DG_Prot_Fdr.dss</t>
  </si>
  <si>
    <t>Utility</t>
  </si>
  <si>
    <t>DG/Xf</t>
  </si>
  <si>
    <t>Loc</t>
  </si>
  <si>
    <t>IaA</t>
  </si>
  <si>
    <t>IaB</t>
  </si>
  <si>
    <t>IaC</t>
  </si>
  <si>
    <t>IbA</t>
  </si>
  <si>
    <t>IcA</t>
  </si>
  <si>
    <t>IbB</t>
  </si>
  <si>
    <t>IcB</t>
  </si>
  <si>
    <t>IbC</t>
  </si>
  <si>
    <t>IcC</t>
  </si>
  <si>
    <t>IaD</t>
  </si>
  <si>
    <t>IbD</t>
  </si>
  <si>
    <t>IcD</t>
  </si>
  <si>
    <t>IgA</t>
  </si>
  <si>
    <t>IgB</t>
  </si>
  <si>
    <t>IgD</t>
  </si>
  <si>
    <t>Yes</t>
  </si>
  <si>
    <t>If1</t>
  </si>
  <si>
    <t>If2</t>
  </si>
  <si>
    <t>VaB</t>
  </si>
  <si>
    <t>VbB</t>
  </si>
  <si>
    <t>VcB</t>
  </si>
  <si>
    <t>V0B</t>
  </si>
  <si>
    <t>V2B</t>
  </si>
  <si>
    <t>VaC</t>
  </si>
  <si>
    <t>VbC</t>
  </si>
  <si>
    <t>VcC</t>
  </si>
  <si>
    <t>I2B</t>
  </si>
  <si>
    <t>V0C</t>
  </si>
  <si>
    <t>V2C</t>
  </si>
  <si>
    <t>I2C</t>
  </si>
  <si>
    <t>g0</t>
  </si>
  <si>
    <t>g25</t>
  </si>
  <si>
    <t>3p</t>
  </si>
  <si>
    <t>pp</t>
  </si>
  <si>
    <t>ppg</t>
  </si>
  <si>
    <t>Dy</t>
  </si>
  <si>
    <t>No</t>
  </si>
  <si>
    <t>Yd</t>
  </si>
  <si>
    <t>Ynd</t>
  </si>
  <si>
    <t>IgC</t>
  </si>
  <si>
    <t>UV</t>
  </si>
  <si>
    <t>Time</t>
  </si>
  <si>
    <t>OV</t>
  </si>
  <si>
    <t>1547 UV</t>
  </si>
  <si>
    <t>1547 OV</t>
  </si>
  <si>
    <t>LGIA/G</t>
  </si>
  <si>
    <t>WECC 2/08</t>
  </si>
  <si>
    <t>WECC 9/08</t>
  </si>
  <si>
    <t>K Link</t>
  </si>
  <si>
    <t>Size</t>
  </si>
  <si>
    <t>I [pu]</t>
  </si>
  <si>
    <t>I [Amps]</t>
  </si>
  <si>
    <t>T [s]</t>
  </si>
  <si>
    <t>Form4_116</t>
  </si>
  <si>
    <t>Form4_136</t>
  </si>
  <si>
    <t>Note: these are not the TCC actually used in the DG Prot Fdr, they are only examples for illustration.</t>
  </si>
</sst>
</file>

<file path=xl/styles.xml><?xml version="1.0" encoding="utf-8"?>
<styleSheet xmlns="http://schemas.openxmlformats.org/spreadsheetml/2006/main">
  <numFmts count="1">
    <numFmt numFmtId="164" formatCode="0.0"/>
  </numFmts>
  <fonts count="5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rgb="FFFF0000"/>
      <name val="Arial"/>
      <family val="2"/>
    </font>
    <font>
      <sz val="10"/>
      <color rgb="FF0070C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164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2" fontId="1" fillId="0" borderId="0" xfId="0" applyNumberFormat="1" applyFont="1" applyAlignment="1">
      <alignment horizontal="right"/>
    </xf>
    <xf numFmtId="0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IEEE 1547 Voltage Trip Curves</a:t>
            </a:r>
          </a:p>
        </c:rich>
      </c:tx>
      <c:layout>
        <c:manualLayout>
          <c:xMode val="edge"/>
          <c:yMode val="edge"/>
          <c:x val="0.25865580448065184"/>
          <c:y val="3.3678756476683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682281059063141"/>
          <c:y val="0.16062176165803099"/>
          <c:w val="0.77800407331975596"/>
          <c:h val="0.64766839378238361"/>
        </c:manualLayout>
      </c:layout>
      <c:scatterChart>
        <c:scatterStyle val="lineMarker"/>
        <c:ser>
          <c:idx val="0"/>
          <c:order val="0"/>
          <c:tx>
            <c:strRef>
              <c:f>'1547'!$B$6</c:f>
              <c:strCache>
                <c:ptCount val="1"/>
                <c:pt idx="0">
                  <c:v>1547 UV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'1547'!$A$11:$A$18</c:f>
              <c:numCache>
                <c:formatCode>General</c:formatCode>
                <c:ptCount val="8"/>
                <c:pt idx="0">
                  <c:v>0.16600000000000001</c:v>
                </c:pt>
                <c:pt idx="1">
                  <c:v>0.16600000000000001</c:v>
                </c:pt>
                <c:pt idx="2">
                  <c:v>0.999</c:v>
                </c:pt>
                <c:pt idx="3">
                  <c:v>1</c:v>
                </c:pt>
                <c:pt idx="4">
                  <c:v>1.75</c:v>
                </c:pt>
                <c:pt idx="5">
                  <c:v>1.9990000000000001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'1547'!$B$11:$B$18</c:f>
              <c:numCache>
                <c:formatCode>General</c:formatCode>
                <c:ptCount val="8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0.88</c:v>
                </c:pt>
                <c:pt idx="7">
                  <c:v>0.88</c:v>
                </c:pt>
              </c:numCache>
            </c:numRef>
          </c:yVal>
        </c:ser>
        <c:ser>
          <c:idx val="1"/>
          <c:order val="1"/>
          <c:tx>
            <c:strRef>
              <c:f>'1547'!$C$6</c:f>
              <c:strCache>
                <c:ptCount val="1"/>
                <c:pt idx="0">
                  <c:v>1547 OV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'1547'!$A$11:$A$18</c:f>
              <c:numCache>
                <c:formatCode>General</c:formatCode>
                <c:ptCount val="8"/>
                <c:pt idx="0">
                  <c:v>0.16600000000000001</c:v>
                </c:pt>
                <c:pt idx="1">
                  <c:v>0.16600000000000001</c:v>
                </c:pt>
                <c:pt idx="2">
                  <c:v>0.999</c:v>
                </c:pt>
                <c:pt idx="3">
                  <c:v>1</c:v>
                </c:pt>
                <c:pt idx="4">
                  <c:v>1.75</c:v>
                </c:pt>
                <c:pt idx="5">
                  <c:v>1.9990000000000001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'1547'!$C$11:$C$18</c:f>
              <c:numCache>
                <c:formatCode>General</c:formatCode>
                <c:ptCount val="8"/>
                <c:pt idx="0">
                  <c:v>1.4</c:v>
                </c:pt>
                <c:pt idx="1">
                  <c:v>1.2</c:v>
                </c:pt>
                <c:pt idx="2">
                  <c:v>1.2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</c:numCache>
            </c:numRef>
          </c:yVal>
        </c:ser>
        <c:axId val="61267328"/>
        <c:axId val="61151104"/>
      </c:scatterChart>
      <c:valAx>
        <c:axId val="61267328"/>
        <c:scaling>
          <c:orientation val="minMax"/>
          <c:max val="2.5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Trip Time [s]</a:t>
                </a:r>
              </a:p>
            </c:rich>
          </c:tx>
          <c:layout>
            <c:manualLayout>
              <c:xMode val="edge"/>
              <c:yMode val="edge"/>
              <c:x val="0.4439918533604888"/>
              <c:y val="0.90155440414507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151104"/>
        <c:crosses val="autoZero"/>
        <c:crossBetween val="midCat"/>
      </c:valAx>
      <c:valAx>
        <c:axId val="61151104"/>
        <c:scaling>
          <c:orientation val="minMax"/>
          <c:max val="1.4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 Threshold [p.u.]</a:t>
                </a:r>
              </a:p>
            </c:rich>
          </c:tx>
          <c:layout>
            <c:manualLayout>
              <c:xMode val="edge"/>
              <c:yMode val="edge"/>
              <c:x val="2.0366598778004074E-2"/>
              <c:y val="0.240932642487046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2673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Example</a:t>
            </a:r>
            <a:r>
              <a:rPr lang="en-US" baseline="0"/>
              <a:t> </a:t>
            </a:r>
            <a:r>
              <a:rPr lang="en-US"/>
              <a:t>Time-Current Curves</a:t>
            </a:r>
          </a:p>
        </c:rich>
      </c:tx>
      <c:layout>
        <c:manualLayout>
          <c:xMode val="edge"/>
          <c:yMode val="edge"/>
          <c:x val="0.20884146341463425"/>
          <c:y val="3.03030303030303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957317073170732"/>
          <c:y val="0.20202060057725818"/>
          <c:w val="0.79878048780487843"/>
          <c:h val="0.64848612785299808"/>
        </c:manualLayout>
      </c:layout>
      <c:scatterChart>
        <c:scatterStyle val="lineMarker"/>
        <c:ser>
          <c:idx val="7"/>
          <c:order val="0"/>
          <c:tx>
            <c:v>40K Fuse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TCC!$B$4:$B$11</c:f>
              <c:numCache>
                <c:formatCode>General</c:formatCode>
                <c:ptCount val="8"/>
                <c:pt idx="0">
                  <c:v>80</c:v>
                </c:pt>
                <c:pt idx="1">
                  <c:v>88</c:v>
                </c:pt>
                <c:pt idx="2">
                  <c:v>120</c:v>
                </c:pt>
                <c:pt idx="3">
                  <c:v>160</c:v>
                </c:pt>
                <c:pt idx="4">
                  <c:v>240</c:v>
                </c:pt>
                <c:pt idx="5">
                  <c:v>1200</c:v>
                </c:pt>
                <c:pt idx="6">
                  <c:v>2000</c:v>
                </c:pt>
                <c:pt idx="7">
                  <c:v>10000</c:v>
                </c:pt>
              </c:numCache>
            </c:numRef>
          </c:xVal>
          <c:yVal>
            <c:numRef>
              <c:f>TCC!$C$4:$C$11</c:f>
              <c:numCache>
                <c:formatCode>General</c:formatCode>
                <c:ptCount val="8"/>
                <c:pt idx="0">
                  <c:v>300</c:v>
                </c:pt>
                <c:pt idx="1">
                  <c:v>20</c:v>
                </c:pt>
                <c:pt idx="2">
                  <c:v>4</c:v>
                </c:pt>
                <c:pt idx="3">
                  <c:v>1.3</c:v>
                </c:pt>
                <c:pt idx="4">
                  <c:v>0.41</c:v>
                </c:pt>
                <c:pt idx="5">
                  <c:v>0.02</c:v>
                </c:pt>
                <c:pt idx="6">
                  <c:v>1.4E-2</c:v>
                </c:pt>
                <c:pt idx="7">
                  <c:v>1.4E-2</c:v>
                </c:pt>
              </c:numCache>
            </c:numRef>
          </c:yVal>
        </c:ser>
        <c:ser>
          <c:idx val="0"/>
          <c:order val="1"/>
          <c:tx>
            <c:v>B:Phase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TCC!$B$16:$B$23</c:f>
              <c:numCache>
                <c:formatCode>General</c:formatCode>
                <c:ptCount val="8"/>
                <c:pt idx="0">
                  <c:v>300</c:v>
                </c:pt>
                <c:pt idx="1">
                  <c:v>450</c:v>
                </c:pt>
                <c:pt idx="2">
                  <c:v>2400</c:v>
                </c:pt>
                <c:pt idx="3">
                  <c:v>3000</c:v>
                </c:pt>
                <c:pt idx="4">
                  <c:v>4500</c:v>
                </c:pt>
                <c:pt idx="5">
                  <c:v>6000</c:v>
                </c:pt>
                <c:pt idx="6">
                  <c:v>9000</c:v>
                </c:pt>
                <c:pt idx="7">
                  <c:v>30000</c:v>
                </c:pt>
              </c:numCache>
            </c:numRef>
          </c:xVal>
          <c:yVal>
            <c:numRef>
              <c:f>TCC!$C$16:$C$23</c:f>
              <c:numCache>
                <c:formatCode>General</c:formatCode>
                <c:ptCount val="8"/>
                <c:pt idx="0">
                  <c:v>6.3</c:v>
                </c:pt>
                <c:pt idx="1">
                  <c:v>2.2000000000000002</c:v>
                </c:pt>
                <c:pt idx="2">
                  <c:v>0.06</c:v>
                </c:pt>
                <c:pt idx="3">
                  <c:v>0.04</c:v>
                </c:pt>
                <c:pt idx="4">
                  <c:v>0.02</c:v>
                </c:pt>
                <c:pt idx="5">
                  <c:v>1.2E-2</c:v>
                </c:pt>
                <c:pt idx="6">
                  <c:v>1.0999999999999999E-2</c:v>
                </c:pt>
                <c:pt idx="7">
                  <c:v>1.0999999999999999E-2</c:v>
                </c:pt>
              </c:numCache>
            </c:numRef>
          </c:yVal>
        </c:ser>
        <c:ser>
          <c:idx val="1"/>
          <c:order val="2"/>
          <c:tx>
            <c:v>A:Phase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TCC!$B$28:$B$36</c:f>
              <c:numCache>
                <c:formatCode>General</c:formatCode>
                <c:ptCount val="9"/>
                <c:pt idx="0">
                  <c:v>560</c:v>
                </c:pt>
                <c:pt idx="1">
                  <c:v>728</c:v>
                </c:pt>
                <c:pt idx="2">
                  <c:v>840</c:v>
                </c:pt>
                <c:pt idx="3">
                  <c:v>2240</c:v>
                </c:pt>
                <c:pt idx="4">
                  <c:v>5040</c:v>
                </c:pt>
                <c:pt idx="5">
                  <c:v>7280</c:v>
                </c:pt>
                <c:pt idx="6">
                  <c:v>8400</c:v>
                </c:pt>
                <c:pt idx="7">
                  <c:v>11200</c:v>
                </c:pt>
                <c:pt idx="8">
                  <c:v>56000</c:v>
                </c:pt>
              </c:numCache>
            </c:numRef>
          </c:xVal>
          <c:yVal>
            <c:numRef>
              <c:f>TCC!$C$28:$C$36</c:f>
              <c:numCache>
                <c:formatCode>General</c:formatCode>
                <c:ptCount val="9"/>
                <c:pt idx="0">
                  <c:v>25</c:v>
                </c:pt>
                <c:pt idx="1">
                  <c:v>8</c:v>
                </c:pt>
                <c:pt idx="2">
                  <c:v>4.5</c:v>
                </c:pt>
                <c:pt idx="3">
                  <c:v>0.9</c:v>
                </c:pt>
                <c:pt idx="4">
                  <c:v>0.12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1.4999999999999999E-2</c:v>
                </c:pt>
                <c:pt idx="8">
                  <c:v>1.4999999999999999E-2</c:v>
                </c:pt>
              </c:numCache>
            </c:numRef>
          </c:yVal>
        </c:ser>
        <c:ser>
          <c:idx val="2"/>
          <c:order val="3"/>
          <c:tx>
            <c:v>B:Grnd</c:v>
          </c:tx>
          <c:spPr>
            <a:ln w="254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TCC!$D$16:$D$23</c:f>
              <c:numCache>
                <c:formatCode>General</c:formatCode>
                <c:ptCount val="8"/>
                <c:pt idx="0">
                  <c:v>280</c:v>
                </c:pt>
                <c:pt idx="1">
                  <c:v>420</c:v>
                </c:pt>
                <c:pt idx="2">
                  <c:v>2240</c:v>
                </c:pt>
                <c:pt idx="3">
                  <c:v>2800</c:v>
                </c:pt>
                <c:pt idx="4">
                  <c:v>4200</c:v>
                </c:pt>
                <c:pt idx="5">
                  <c:v>5600</c:v>
                </c:pt>
                <c:pt idx="6">
                  <c:v>8400</c:v>
                </c:pt>
                <c:pt idx="7">
                  <c:v>28000</c:v>
                </c:pt>
              </c:numCache>
            </c:numRef>
          </c:xVal>
          <c:yVal>
            <c:numRef>
              <c:f>TCC!$C$16:$C$23</c:f>
              <c:numCache>
                <c:formatCode>General</c:formatCode>
                <c:ptCount val="8"/>
                <c:pt idx="0">
                  <c:v>6.3</c:v>
                </c:pt>
                <c:pt idx="1">
                  <c:v>2.2000000000000002</c:v>
                </c:pt>
                <c:pt idx="2">
                  <c:v>0.06</c:v>
                </c:pt>
                <c:pt idx="3">
                  <c:v>0.04</c:v>
                </c:pt>
                <c:pt idx="4">
                  <c:v>0.02</c:v>
                </c:pt>
                <c:pt idx="5">
                  <c:v>1.2E-2</c:v>
                </c:pt>
                <c:pt idx="6">
                  <c:v>1.0999999999999999E-2</c:v>
                </c:pt>
                <c:pt idx="7">
                  <c:v>1.0999999999999999E-2</c:v>
                </c:pt>
              </c:numCache>
            </c:numRef>
          </c:yVal>
        </c:ser>
        <c:ser>
          <c:idx val="3"/>
          <c:order val="4"/>
          <c:tx>
            <c:v>A:Grnd</c:v>
          </c:tx>
          <c:spPr>
            <a:ln w="254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TCC!$D$28:$D$36</c:f>
              <c:numCache>
                <c:formatCode>General</c:formatCode>
                <c:ptCount val="9"/>
                <c:pt idx="0">
                  <c:v>320</c:v>
                </c:pt>
                <c:pt idx="1">
                  <c:v>416</c:v>
                </c:pt>
                <c:pt idx="2">
                  <c:v>480</c:v>
                </c:pt>
                <c:pt idx="3">
                  <c:v>1280</c:v>
                </c:pt>
                <c:pt idx="4">
                  <c:v>2880</c:v>
                </c:pt>
                <c:pt idx="5">
                  <c:v>4160</c:v>
                </c:pt>
                <c:pt idx="6">
                  <c:v>4800</c:v>
                </c:pt>
                <c:pt idx="7">
                  <c:v>6400</c:v>
                </c:pt>
                <c:pt idx="8">
                  <c:v>32000</c:v>
                </c:pt>
              </c:numCache>
            </c:numRef>
          </c:xVal>
          <c:yVal>
            <c:numRef>
              <c:f>TCC!$C$28:$C$36</c:f>
              <c:numCache>
                <c:formatCode>General</c:formatCode>
                <c:ptCount val="9"/>
                <c:pt idx="0">
                  <c:v>25</c:v>
                </c:pt>
                <c:pt idx="1">
                  <c:v>8</c:v>
                </c:pt>
                <c:pt idx="2">
                  <c:v>4.5</c:v>
                </c:pt>
                <c:pt idx="3">
                  <c:v>0.9</c:v>
                </c:pt>
                <c:pt idx="4">
                  <c:v>0.12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1.4999999999999999E-2</c:v>
                </c:pt>
                <c:pt idx="8">
                  <c:v>1.4999999999999999E-2</c:v>
                </c:pt>
              </c:numCache>
            </c:numRef>
          </c:yVal>
        </c:ser>
        <c:axId val="74105984"/>
        <c:axId val="74107904"/>
      </c:scatterChart>
      <c:valAx>
        <c:axId val="74105984"/>
        <c:scaling>
          <c:logBase val="10"/>
          <c:orientation val="minMax"/>
          <c:max val="10000"/>
          <c:min val="100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Primary Current [Amps]</a:t>
                </a:r>
              </a:p>
            </c:rich>
          </c:tx>
          <c:layout>
            <c:manualLayout>
              <c:xMode val="edge"/>
              <c:yMode val="edge"/>
              <c:x val="0.38871951219512196"/>
              <c:y val="0.9232342320846257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107904"/>
        <c:crossesAt val="1.0000000000000005E-2"/>
        <c:crossBetween val="midCat"/>
      </c:valAx>
      <c:valAx>
        <c:axId val="74107904"/>
        <c:scaling>
          <c:logBase val="10"/>
          <c:orientation val="minMax"/>
          <c:max val="10"/>
          <c:min val="1.0000000000000005E-2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[s]</a:t>
                </a:r>
              </a:p>
            </c:rich>
          </c:tx>
          <c:layout>
            <c:manualLayout>
              <c:xMode val="edge"/>
              <c:yMode val="edge"/>
              <c:x val="1.371951219512195E-2"/>
              <c:y val="0.4585867069646600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105984"/>
        <c:crossesAt val="100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1203901249619023E-2"/>
          <c:y val="0.13085621970920838"/>
          <c:w val="0.89362999085644623"/>
          <c:h val="5.492730210016155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</xdr:row>
      <xdr:rowOff>129540</xdr:rowOff>
    </xdr:from>
    <xdr:to>
      <xdr:col>13</xdr:col>
      <xdr:colOff>563880</xdr:colOff>
      <xdr:row>24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220980</xdr:colOff>
      <xdr:row>7</xdr:row>
      <xdr:rowOff>38100</xdr:rowOff>
    </xdr:from>
    <xdr:to>
      <xdr:col>16</xdr:col>
      <xdr:colOff>373380</xdr:colOff>
      <xdr:row>36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ull_distwind/uwig/Applet_Librar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pri_dss/dss/uwig/Applet_Library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T"/>
      <sheetName val="Wind2400"/>
      <sheetName val="MultipleTurbines"/>
      <sheetName val="TCC"/>
      <sheetName val="1547"/>
      <sheetName val="Turbines"/>
      <sheetName val="LineCodes"/>
    </sheetNames>
    <sheetDataSet>
      <sheetData sheetId="0" refreshError="1"/>
      <sheetData sheetId="1" refreshError="1"/>
      <sheetData sheetId="2" refreshError="1"/>
      <sheetData sheetId="3">
        <row r="22">
          <cell r="L22">
            <v>12</v>
          </cell>
        </row>
        <row r="23">
          <cell r="L23">
            <v>6</v>
          </cell>
        </row>
        <row r="24">
          <cell r="L24">
            <v>17</v>
          </cell>
        </row>
        <row r="25">
          <cell r="L25">
            <v>20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T"/>
      <sheetName val="Wind2400"/>
      <sheetName val="MultipleTurbines"/>
      <sheetName val="TCC"/>
      <sheetName val="1547"/>
      <sheetName val="Turbines"/>
      <sheetName val="LineCodes"/>
    </sheetNames>
    <sheetDataSet>
      <sheetData sheetId="0" refreshError="1"/>
      <sheetData sheetId="1" refreshError="1"/>
      <sheetData sheetId="2" refreshError="1"/>
      <sheetData sheetId="3">
        <row r="22">
          <cell r="L22">
            <v>12</v>
          </cell>
        </row>
        <row r="23">
          <cell r="L23">
            <v>6</v>
          </cell>
        </row>
        <row r="24">
          <cell r="L24">
            <v>17</v>
          </cell>
        </row>
        <row r="25">
          <cell r="L25">
            <v>20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D14"/>
  <sheetViews>
    <sheetView tabSelected="1" workbookViewId="0">
      <selection activeCell="C7" sqref="C7"/>
    </sheetView>
  </sheetViews>
  <sheetFormatPr defaultRowHeight="13.2"/>
  <cols>
    <col min="1" max="1" width="19.44140625" customWidth="1"/>
    <col min="2" max="2" width="18.33203125" customWidth="1"/>
    <col min="3" max="3" width="19.33203125" customWidth="1"/>
  </cols>
  <sheetData>
    <row r="1" spans="1:4">
      <c r="A1" s="1" t="s">
        <v>0</v>
      </c>
      <c r="B1" s="3" t="s">
        <v>4</v>
      </c>
      <c r="C1" s="4" t="s">
        <v>2</v>
      </c>
    </row>
    <row r="2" spans="1:4">
      <c r="A2" s="1" t="s">
        <v>1</v>
      </c>
      <c r="B2" s="3" t="s">
        <v>5</v>
      </c>
    </row>
    <row r="4" spans="1:4">
      <c r="B4" s="3"/>
      <c r="C4" s="4"/>
    </row>
    <row r="5" spans="1:4">
      <c r="B5" s="3"/>
    </row>
    <row r="6" spans="1:4">
      <c r="C6" s="4"/>
      <c r="D6" s="4"/>
    </row>
    <row r="7" spans="1:4">
      <c r="C7" s="5"/>
      <c r="D7" s="5"/>
    </row>
    <row r="8" spans="1:4">
      <c r="C8" s="5"/>
      <c r="D8" s="5"/>
    </row>
    <row r="9" spans="1:4">
      <c r="C9" s="5"/>
      <c r="D9" s="5"/>
    </row>
    <row r="10" spans="1:4">
      <c r="C10" s="3"/>
      <c r="D10" s="3"/>
    </row>
    <row r="11" spans="1:4">
      <c r="C11" s="3"/>
      <c r="D11" s="3"/>
    </row>
    <row r="12" spans="1:4">
      <c r="C12" s="3"/>
      <c r="D12" s="3"/>
    </row>
    <row r="13" spans="1:4">
      <c r="C13" s="3"/>
      <c r="D13" s="3"/>
    </row>
    <row r="14" spans="1:4">
      <c r="C14" s="3"/>
      <c r="D14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T99"/>
  <sheetViews>
    <sheetView workbookViewId="0">
      <pane ySplit="1" topLeftCell="A2" activePane="bottomLeft" state="frozen"/>
      <selection pane="bottomLeft" activeCell="F111" sqref="F111"/>
    </sheetView>
  </sheetViews>
  <sheetFormatPr defaultRowHeight="13.2"/>
  <cols>
    <col min="1" max="2" width="6.5546875" style="8" customWidth="1"/>
    <col min="3" max="3" width="5.44140625" style="8" customWidth="1"/>
    <col min="4" max="4" width="6.21875" style="8" customWidth="1"/>
    <col min="5" max="5" width="5.88671875" style="9" customWidth="1"/>
    <col min="6" max="6" width="5.77734375" style="9" customWidth="1"/>
    <col min="7" max="7" width="5.33203125" style="9" customWidth="1"/>
    <col min="8" max="8" width="6.21875" style="9" customWidth="1"/>
    <col min="9" max="11" width="5.6640625" style="9" customWidth="1"/>
    <col min="12" max="12" width="5.5546875" style="9" customWidth="1"/>
    <col min="13" max="13" width="6" style="9" customWidth="1"/>
    <col min="14" max="14" width="6.21875" style="9" customWidth="1"/>
    <col min="15" max="15" width="5.6640625" style="9" customWidth="1"/>
    <col min="16" max="16" width="4.88671875" style="9" customWidth="1"/>
    <col min="17" max="17" width="7" style="9" customWidth="1"/>
    <col min="18" max="19" width="6.77734375" style="9" customWidth="1"/>
    <col min="20" max="20" width="7.21875" style="9" customWidth="1"/>
  </cols>
  <sheetData>
    <row r="1" spans="1:20">
      <c r="A1" s="7" t="s">
        <v>6</v>
      </c>
      <c r="B1" s="7" t="s">
        <v>7</v>
      </c>
      <c r="C1" s="7" t="s">
        <v>8</v>
      </c>
      <c r="D1" s="7" t="s">
        <v>3</v>
      </c>
      <c r="E1" s="6" t="s">
        <v>9</v>
      </c>
      <c r="F1" s="6" t="s">
        <v>12</v>
      </c>
      <c r="G1" s="6" t="s">
        <v>13</v>
      </c>
      <c r="H1" s="6" t="s">
        <v>21</v>
      </c>
      <c r="I1" s="6" t="s">
        <v>10</v>
      </c>
      <c r="J1" s="6" t="s">
        <v>14</v>
      </c>
      <c r="K1" s="6" t="s">
        <v>15</v>
      </c>
      <c r="L1" s="6" t="s">
        <v>22</v>
      </c>
      <c r="M1" s="6" t="s">
        <v>11</v>
      </c>
      <c r="N1" s="6" t="s">
        <v>16</v>
      </c>
      <c r="O1" s="6" t="s">
        <v>17</v>
      </c>
      <c r="P1" s="6" t="s">
        <v>48</v>
      </c>
      <c r="Q1" s="6" t="s">
        <v>18</v>
      </c>
      <c r="R1" s="6" t="s">
        <v>19</v>
      </c>
      <c r="S1" s="6" t="s">
        <v>20</v>
      </c>
      <c r="T1" s="6" t="s">
        <v>23</v>
      </c>
    </row>
    <row r="2" spans="1:20">
      <c r="A2" s="8" t="s">
        <v>24</v>
      </c>
      <c r="B2" s="8" t="s">
        <v>45</v>
      </c>
      <c r="C2" s="8">
        <v>1</v>
      </c>
      <c r="D2" s="8" t="s">
        <v>39</v>
      </c>
      <c r="E2" s="9">
        <v>545.5</v>
      </c>
      <c r="F2" s="9">
        <v>0.3</v>
      </c>
      <c r="G2" s="9">
        <v>0.3</v>
      </c>
      <c r="H2" s="9">
        <v>545.70000000000005</v>
      </c>
      <c r="I2" s="9">
        <v>0</v>
      </c>
      <c r="J2" s="9">
        <v>0</v>
      </c>
      <c r="K2" s="9">
        <v>0</v>
      </c>
      <c r="L2" s="9">
        <v>0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</row>
    <row r="3" spans="1:20">
      <c r="C3" s="8">
        <v>1</v>
      </c>
      <c r="D3" s="8" t="s">
        <v>40</v>
      </c>
      <c r="E3" s="9">
        <v>214.1</v>
      </c>
      <c r="F3" s="9">
        <v>0.3</v>
      </c>
      <c r="G3" s="9">
        <v>0.3</v>
      </c>
      <c r="H3" s="9">
        <v>214.2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</row>
    <row r="4" spans="1:20">
      <c r="C4" s="8">
        <v>2</v>
      </c>
      <c r="D4" s="8" t="s">
        <v>39</v>
      </c>
      <c r="E4" s="9">
        <v>132.6</v>
      </c>
      <c r="F4" s="9">
        <v>0.3</v>
      </c>
      <c r="G4" s="9">
        <v>0.3</v>
      </c>
      <c r="H4" s="9">
        <v>132.80000000000001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</row>
    <row r="5" spans="1:20">
      <c r="C5" s="8">
        <v>2</v>
      </c>
      <c r="D5" s="8" t="s">
        <v>40</v>
      </c>
      <c r="E5" s="9">
        <v>98</v>
      </c>
      <c r="F5" s="9">
        <v>0.3</v>
      </c>
      <c r="G5" s="9">
        <v>0.3</v>
      </c>
      <c r="H5" s="9">
        <v>98.1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</row>
    <row r="6" spans="1:20">
      <c r="C6" s="8">
        <v>3</v>
      </c>
      <c r="D6" s="8" t="s">
        <v>39</v>
      </c>
      <c r="E6" s="9">
        <v>918.5</v>
      </c>
      <c r="F6" s="9">
        <v>0.3</v>
      </c>
      <c r="G6" s="9">
        <v>0.2</v>
      </c>
      <c r="H6" s="9">
        <v>918.6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  <c r="Q6" s="9">
        <v>0</v>
      </c>
      <c r="R6" s="9">
        <v>0</v>
      </c>
      <c r="S6" s="9">
        <v>0</v>
      </c>
      <c r="T6" s="9">
        <v>0</v>
      </c>
    </row>
    <row r="7" spans="1:20">
      <c r="C7" s="8">
        <v>3</v>
      </c>
      <c r="D7" s="8" t="s">
        <v>40</v>
      </c>
      <c r="E7" s="9">
        <v>267.60000000000002</v>
      </c>
      <c r="F7" s="9">
        <v>0.3</v>
      </c>
      <c r="G7" s="9">
        <v>0.3</v>
      </c>
      <c r="H7" s="9">
        <v>267.7</v>
      </c>
      <c r="I7" s="9">
        <v>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</row>
    <row r="8" spans="1:20">
      <c r="C8" s="8">
        <v>3</v>
      </c>
      <c r="D8" s="8" t="s">
        <v>41</v>
      </c>
      <c r="E8" s="9">
        <v>898.6</v>
      </c>
      <c r="F8" s="9">
        <v>924.5</v>
      </c>
      <c r="G8" s="9">
        <v>899</v>
      </c>
      <c r="H8" s="9">
        <v>26</v>
      </c>
      <c r="I8" s="9">
        <v>0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</row>
    <row r="9" spans="1:20">
      <c r="C9" s="8">
        <v>3</v>
      </c>
      <c r="D9" s="8" t="s">
        <v>42</v>
      </c>
      <c r="E9" s="9">
        <v>802.1</v>
      </c>
      <c r="F9" s="9">
        <v>802</v>
      </c>
      <c r="G9" s="9">
        <v>0.3</v>
      </c>
      <c r="H9" s="9">
        <v>0.4</v>
      </c>
      <c r="I9" s="9">
        <v>0</v>
      </c>
      <c r="J9" s="9">
        <v>0</v>
      </c>
      <c r="K9" s="9">
        <v>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</row>
    <row r="10" spans="1:20">
      <c r="C10" s="8">
        <v>3</v>
      </c>
      <c r="D10" s="8" t="s">
        <v>43</v>
      </c>
      <c r="E10" s="9">
        <v>927.7</v>
      </c>
      <c r="F10" s="9">
        <v>921</v>
      </c>
      <c r="G10" s="9">
        <v>0.2</v>
      </c>
      <c r="H10" s="9">
        <v>923.7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</row>
    <row r="11" spans="1:20">
      <c r="C11" s="8">
        <v>4</v>
      </c>
      <c r="D11" s="8" t="s">
        <v>39</v>
      </c>
      <c r="E11" s="9">
        <v>0.1</v>
      </c>
      <c r="F11" s="9">
        <v>0.3</v>
      </c>
      <c r="G11" s="9">
        <v>0.2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1487.4</v>
      </c>
      <c r="R11" s="9">
        <v>0</v>
      </c>
      <c r="S11" s="9">
        <v>0</v>
      </c>
      <c r="T11" s="9">
        <v>1487.4</v>
      </c>
    </row>
    <row r="12" spans="1:20">
      <c r="C12" s="8">
        <v>4</v>
      </c>
      <c r="D12" s="8" t="s">
        <v>40</v>
      </c>
      <c r="E12" s="9">
        <v>1</v>
      </c>
      <c r="F12" s="9">
        <v>0.3</v>
      </c>
      <c r="G12" s="9">
        <v>0.3</v>
      </c>
      <c r="H12" s="9">
        <v>0.7</v>
      </c>
      <c r="I12" s="9">
        <v>0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286.89999999999998</v>
      </c>
      <c r="R12" s="9">
        <v>0</v>
      </c>
      <c r="S12" s="9">
        <v>0</v>
      </c>
      <c r="T12" s="9">
        <v>286.89999999999998</v>
      </c>
    </row>
    <row r="13" spans="1:20">
      <c r="C13" s="8">
        <v>4</v>
      </c>
      <c r="D13" s="8" t="s">
        <v>41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1164.8</v>
      </c>
      <c r="R13" s="9">
        <v>1165.0999999999999</v>
      </c>
      <c r="S13" s="9">
        <v>1165.0999999999999</v>
      </c>
      <c r="T13" s="9">
        <v>0.8</v>
      </c>
    </row>
    <row r="14" spans="1:20">
      <c r="C14" s="8">
        <v>4</v>
      </c>
      <c r="D14" s="8" t="s">
        <v>42</v>
      </c>
      <c r="E14" s="9">
        <v>0.5</v>
      </c>
      <c r="F14" s="9">
        <v>0.1</v>
      </c>
      <c r="G14" s="9">
        <v>0.3</v>
      </c>
      <c r="H14" s="9">
        <v>0.3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1009.1</v>
      </c>
      <c r="R14" s="9">
        <v>1009.1</v>
      </c>
      <c r="S14" s="9">
        <v>0</v>
      </c>
      <c r="T14" s="9">
        <v>0</v>
      </c>
    </row>
    <row r="15" spans="1:20">
      <c r="C15" s="8">
        <v>4</v>
      </c>
      <c r="D15" s="8" t="s">
        <v>43</v>
      </c>
      <c r="E15" s="9">
        <v>0</v>
      </c>
      <c r="F15" s="9">
        <v>0</v>
      </c>
      <c r="G15" s="9">
        <v>0.1</v>
      </c>
      <c r="H15" s="9">
        <v>0.1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1404</v>
      </c>
      <c r="R15" s="9">
        <v>1475.2</v>
      </c>
      <c r="S15" s="9">
        <v>0</v>
      </c>
      <c r="T15" s="9">
        <v>2054.6999999999998</v>
      </c>
    </row>
    <row r="16" spans="1:20">
      <c r="A16" s="8" t="s">
        <v>24</v>
      </c>
      <c r="B16" s="8" t="s">
        <v>46</v>
      </c>
      <c r="C16" s="8">
        <v>1</v>
      </c>
      <c r="D16" s="8" t="s">
        <v>39</v>
      </c>
      <c r="E16" s="9">
        <v>522.29999999999995</v>
      </c>
      <c r="F16" s="9">
        <v>25.5</v>
      </c>
      <c r="G16" s="9">
        <v>26.5</v>
      </c>
      <c r="H16" s="9">
        <v>470.7</v>
      </c>
      <c r="I16" s="9">
        <v>27.5</v>
      </c>
      <c r="J16" s="9">
        <v>25.8</v>
      </c>
      <c r="K16" s="9">
        <v>26.4</v>
      </c>
      <c r="L16" s="9">
        <v>79.400000000000006</v>
      </c>
      <c r="M16" s="9">
        <v>57.4</v>
      </c>
      <c r="N16" s="9">
        <v>52</v>
      </c>
      <c r="O16" s="9">
        <v>10.199999999999999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</row>
    <row r="17" spans="1:20">
      <c r="C17" s="8">
        <v>1</v>
      </c>
      <c r="D17" s="8" t="s">
        <v>40</v>
      </c>
      <c r="E17" s="9">
        <v>204.1</v>
      </c>
      <c r="F17" s="9">
        <v>10</v>
      </c>
      <c r="G17" s="9">
        <v>10.7</v>
      </c>
      <c r="H17" s="9">
        <v>183.6</v>
      </c>
      <c r="I17" s="9">
        <v>10.4</v>
      </c>
      <c r="J17" s="9">
        <v>10.3</v>
      </c>
      <c r="K17" s="9">
        <v>10.5</v>
      </c>
      <c r="L17" s="9">
        <v>31.1</v>
      </c>
      <c r="M17" s="9">
        <v>26.7</v>
      </c>
      <c r="N17" s="9">
        <v>16.5</v>
      </c>
      <c r="O17" s="9">
        <v>10.3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</row>
    <row r="18" spans="1:20">
      <c r="C18" s="8">
        <v>2</v>
      </c>
      <c r="D18" s="8" t="s">
        <v>39</v>
      </c>
      <c r="E18" s="9">
        <v>105.4</v>
      </c>
      <c r="F18" s="9">
        <v>33.9</v>
      </c>
      <c r="G18" s="9">
        <v>34.799999999999997</v>
      </c>
      <c r="H18" s="9">
        <v>37.299999999999997</v>
      </c>
      <c r="I18" s="9">
        <v>34.4</v>
      </c>
      <c r="J18" s="9">
        <v>34.1</v>
      </c>
      <c r="K18" s="9">
        <v>34.799999999999997</v>
      </c>
      <c r="L18" s="9">
        <v>103.3</v>
      </c>
      <c r="M18" s="9">
        <v>22.1</v>
      </c>
      <c r="N18" s="9">
        <v>13.4</v>
      </c>
      <c r="O18" s="9">
        <v>11.2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</row>
    <row r="19" spans="1:20">
      <c r="C19" s="8">
        <v>2</v>
      </c>
      <c r="D19" s="8" t="s">
        <v>40</v>
      </c>
      <c r="E19" s="9">
        <v>76.5</v>
      </c>
      <c r="F19" s="9">
        <v>24.5</v>
      </c>
      <c r="G19" s="9">
        <v>25.4</v>
      </c>
      <c r="H19" s="9">
        <v>27</v>
      </c>
      <c r="I19" s="9">
        <v>24.8</v>
      </c>
      <c r="J19" s="9">
        <v>24.8</v>
      </c>
      <c r="K19" s="9">
        <v>25.3</v>
      </c>
      <c r="L19" s="9">
        <v>74.8</v>
      </c>
      <c r="M19" s="9">
        <v>18.399999999999999</v>
      </c>
      <c r="N19" s="9">
        <v>7.7</v>
      </c>
      <c r="O19" s="9">
        <v>11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</row>
    <row r="20" spans="1:20">
      <c r="C20" s="8">
        <v>3</v>
      </c>
      <c r="D20" s="8" t="s">
        <v>39</v>
      </c>
      <c r="E20" s="9">
        <v>913.5</v>
      </c>
      <c r="F20" s="9">
        <v>155.9</v>
      </c>
      <c r="G20" s="9">
        <v>156.80000000000001</v>
      </c>
      <c r="H20" s="9">
        <v>601.20000000000005</v>
      </c>
      <c r="I20" s="9">
        <v>159.4</v>
      </c>
      <c r="J20" s="9">
        <v>156</v>
      </c>
      <c r="K20" s="9">
        <v>156.80000000000001</v>
      </c>
      <c r="L20" s="9">
        <v>471.9</v>
      </c>
      <c r="M20" s="9">
        <v>147.1</v>
      </c>
      <c r="N20" s="9">
        <v>142.6</v>
      </c>
      <c r="O20" s="9">
        <v>12.1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</row>
    <row r="21" spans="1:20">
      <c r="C21" s="8">
        <v>3</v>
      </c>
      <c r="D21" s="8" t="s">
        <v>40</v>
      </c>
      <c r="E21" s="9">
        <v>233</v>
      </c>
      <c r="F21" s="9">
        <v>39.700000000000003</v>
      </c>
      <c r="G21" s="9">
        <v>40.4</v>
      </c>
      <c r="H21" s="9">
        <v>153.1</v>
      </c>
      <c r="I21" s="9">
        <v>40.200000000000003</v>
      </c>
      <c r="J21" s="9">
        <v>39.9</v>
      </c>
      <c r="K21" s="9">
        <v>40.200000000000003</v>
      </c>
      <c r="L21" s="9">
        <v>120.2</v>
      </c>
      <c r="M21" s="9">
        <v>41.4</v>
      </c>
      <c r="N21" s="9">
        <v>30.4</v>
      </c>
      <c r="O21" s="9">
        <v>11.4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</row>
    <row r="22" spans="1:20">
      <c r="C22" s="8">
        <v>3</v>
      </c>
      <c r="D22" s="8" t="s">
        <v>41</v>
      </c>
      <c r="E22" s="9">
        <v>898.6</v>
      </c>
      <c r="F22" s="9">
        <v>924.5</v>
      </c>
      <c r="G22" s="9">
        <v>899</v>
      </c>
      <c r="H22" s="9">
        <v>26</v>
      </c>
      <c r="I22" s="9">
        <v>10.3</v>
      </c>
      <c r="J22" s="9">
        <v>10.3</v>
      </c>
      <c r="K22" s="9">
        <v>10.5</v>
      </c>
      <c r="L22" s="9">
        <v>0.2</v>
      </c>
      <c r="M22" s="9">
        <v>215.6</v>
      </c>
      <c r="N22" s="9">
        <v>215.6</v>
      </c>
      <c r="O22" s="9">
        <v>215.7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</row>
    <row r="23" spans="1:20">
      <c r="C23" s="8">
        <v>3</v>
      </c>
      <c r="D23" s="8" t="s">
        <v>42</v>
      </c>
      <c r="E23" s="9">
        <v>802.8</v>
      </c>
      <c r="F23" s="9">
        <v>801.3</v>
      </c>
      <c r="G23" s="9">
        <v>0.5</v>
      </c>
      <c r="H23" s="9">
        <v>1.8</v>
      </c>
      <c r="I23" s="9">
        <v>9.5</v>
      </c>
      <c r="J23" s="9">
        <v>8.6</v>
      </c>
      <c r="K23" s="9">
        <v>0.3</v>
      </c>
      <c r="L23" s="9">
        <v>2</v>
      </c>
      <c r="M23" s="9">
        <v>110.3</v>
      </c>
      <c r="N23" s="9">
        <v>215.6</v>
      </c>
      <c r="O23" s="9">
        <v>106.1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</row>
    <row r="24" spans="1:20">
      <c r="C24" s="8">
        <v>3</v>
      </c>
      <c r="D24" s="8" t="s">
        <v>43</v>
      </c>
      <c r="E24" s="9">
        <v>921.7</v>
      </c>
      <c r="F24" s="9">
        <v>921.5</v>
      </c>
      <c r="G24" s="9">
        <v>188.4</v>
      </c>
      <c r="H24" s="9">
        <v>724.7</v>
      </c>
      <c r="I24" s="9">
        <v>181.3</v>
      </c>
      <c r="J24" s="9">
        <v>198.7</v>
      </c>
      <c r="K24" s="9">
        <v>188.5</v>
      </c>
      <c r="L24" s="9">
        <v>568.4</v>
      </c>
      <c r="M24" s="9">
        <v>139.1</v>
      </c>
      <c r="N24" s="9">
        <v>215.5</v>
      </c>
      <c r="O24" s="9">
        <v>136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</row>
    <row r="25" spans="1:20">
      <c r="C25" s="8">
        <v>4</v>
      </c>
      <c r="D25" s="8" t="s">
        <v>39</v>
      </c>
      <c r="E25" s="9">
        <v>66.599999999999994</v>
      </c>
      <c r="F25" s="9">
        <v>60.4</v>
      </c>
      <c r="G25" s="9">
        <v>61.3</v>
      </c>
      <c r="H25" s="9">
        <v>187.5</v>
      </c>
      <c r="I25" s="9">
        <v>66.5</v>
      </c>
      <c r="J25" s="9">
        <v>60.5</v>
      </c>
      <c r="K25" s="9">
        <v>61.3</v>
      </c>
      <c r="L25" s="9">
        <v>187.5</v>
      </c>
      <c r="M25" s="9">
        <v>159.6</v>
      </c>
      <c r="N25" s="9">
        <v>160.19999999999999</v>
      </c>
      <c r="O25" s="9">
        <v>10</v>
      </c>
      <c r="P25" s="9">
        <v>0</v>
      </c>
      <c r="Q25" s="9">
        <v>1516.1</v>
      </c>
      <c r="R25" s="9">
        <v>0</v>
      </c>
      <c r="S25" s="9">
        <v>0</v>
      </c>
      <c r="T25" s="9">
        <v>1516.1</v>
      </c>
    </row>
    <row r="26" spans="1:20">
      <c r="C26" s="8">
        <v>4</v>
      </c>
      <c r="D26" s="8" t="s">
        <v>40</v>
      </c>
      <c r="E26" s="9">
        <v>11.9</v>
      </c>
      <c r="F26" s="9">
        <v>11.5</v>
      </c>
      <c r="G26" s="9">
        <v>12</v>
      </c>
      <c r="H26" s="9">
        <v>35.4</v>
      </c>
      <c r="I26" s="9">
        <v>12.2</v>
      </c>
      <c r="J26" s="9">
        <v>11.8</v>
      </c>
      <c r="K26" s="9">
        <v>11.8</v>
      </c>
      <c r="L26" s="9">
        <v>35.6</v>
      </c>
      <c r="M26" s="9">
        <v>35</v>
      </c>
      <c r="N26" s="9">
        <v>24.8</v>
      </c>
      <c r="O26" s="9">
        <v>10.199999999999999</v>
      </c>
      <c r="P26" s="9">
        <v>0</v>
      </c>
      <c r="Q26" s="9">
        <v>286.60000000000002</v>
      </c>
      <c r="R26" s="9">
        <v>0</v>
      </c>
      <c r="S26" s="9">
        <v>0</v>
      </c>
      <c r="T26" s="9">
        <v>286.60000000000002</v>
      </c>
    </row>
    <row r="27" spans="1:20">
      <c r="C27" s="8">
        <v>4</v>
      </c>
      <c r="D27" s="8" t="s">
        <v>41</v>
      </c>
      <c r="E27" s="9">
        <v>10.3</v>
      </c>
      <c r="F27" s="9">
        <v>10.3</v>
      </c>
      <c r="G27" s="9">
        <v>10.5</v>
      </c>
      <c r="H27" s="9">
        <v>0.3</v>
      </c>
      <c r="I27" s="9">
        <v>10.3</v>
      </c>
      <c r="J27" s="9">
        <v>10.3</v>
      </c>
      <c r="K27" s="9">
        <v>10.5</v>
      </c>
      <c r="L27" s="9">
        <v>0.3</v>
      </c>
      <c r="M27" s="9">
        <v>214.8</v>
      </c>
      <c r="N27" s="9">
        <v>214.9</v>
      </c>
      <c r="O27" s="9">
        <v>215</v>
      </c>
      <c r="P27" s="9">
        <v>0</v>
      </c>
      <c r="Q27" s="9">
        <v>1166.7</v>
      </c>
      <c r="R27" s="9">
        <v>1167.0999999999999</v>
      </c>
      <c r="S27" s="9">
        <v>1167.0999999999999</v>
      </c>
      <c r="T27" s="9">
        <v>1</v>
      </c>
    </row>
    <row r="28" spans="1:20">
      <c r="C28" s="8">
        <v>4</v>
      </c>
      <c r="D28" s="8" t="s">
        <v>42</v>
      </c>
      <c r="E28" s="9">
        <v>8.6</v>
      </c>
      <c r="F28" s="9">
        <v>9</v>
      </c>
      <c r="G28" s="9">
        <v>0.6</v>
      </c>
      <c r="H28" s="9">
        <v>0.1</v>
      </c>
      <c r="I28" s="9">
        <v>9</v>
      </c>
      <c r="J28" s="9">
        <v>8.9</v>
      </c>
      <c r="K28" s="9">
        <v>0.5</v>
      </c>
      <c r="L28" s="9">
        <v>0.3</v>
      </c>
      <c r="M28" s="9">
        <v>108</v>
      </c>
      <c r="N28" s="9">
        <v>215</v>
      </c>
      <c r="O28" s="9">
        <v>107.7</v>
      </c>
      <c r="P28" s="9">
        <v>0</v>
      </c>
      <c r="Q28" s="9">
        <v>1010.8</v>
      </c>
      <c r="R28" s="9">
        <v>1010.8</v>
      </c>
      <c r="S28" s="9">
        <v>0</v>
      </c>
      <c r="T28" s="9">
        <v>0</v>
      </c>
    </row>
    <row r="29" spans="1:20">
      <c r="C29" s="8">
        <v>4</v>
      </c>
      <c r="D29" s="8" t="s">
        <v>43</v>
      </c>
      <c r="E29" s="9">
        <v>82.3</v>
      </c>
      <c r="F29" s="9">
        <v>98.7</v>
      </c>
      <c r="G29" s="9">
        <v>86.7</v>
      </c>
      <c r="H29" s="9">
        <v>267.3</v>
      </c>
      <c r="I29" s="9">
        <v>82.2</v>
      </c>
      <c r="J29" s="9">
        <v>98.7</v>
      </c>
      <c r="K29" s="9">
        <v>86.8</v>
      </c>
      <c r="L29" s="9">
        <v>267.3</v>
      </c>
      <c r="M29" s="9">
        <v>150.9</v>
      </c>
      <c r="N29" s="9">
        <v>214.8</v>
      </c>
      <c r="O29" s="9">
        <v>157.69999999999999</v>
      </c>
      <c r="P29" s="9">
        <v>0</v>
      </c>
      <c r="Q29" s="9">
        <v>1451.3</v>
      </c>
      <c r="R29" s="9">
        <v>1507.7</v>
      </c>
      <c r="S29" s="9">
        <v>0</v>
      </c>
      <c r="T29" s="9">
        <v>2161.5</v>
      </c>
    </row>
    <row r="30" spans="1:20">
      <c r="A30" s="8" t="s">
        <v>24</v>
      </c>
      <c r="B30" s="8" t="s">
        <v>47</v>
      </c>
      <c r="C30" s="8">
        <v>1</v>
      </c>
      <c r="D30" s="8" t="s">
        <v>39</v>
      </c>
      <c r="E30" s="9">
        <v>530.5</v>
      </c>
      <c r="F30" s="9">
        <v>18.3</v>
      </c>
      <c r="G30" s="9">
        <v>19</v>
      </c>
      <c r="H30" s="9">
        <v>501.1</v>
      </c>
      <c r="I30" s="9">
        <v>22</v>
      </c>
      <c r="J30" s="9">
        <v>18.600000000000001</v>
      </c>
      <c r="K30" s="9">
        <v>18.8</v>
      </c>
      <c r="L30" s="9">
        <v>59.2</v>
      </c>
      <c r="M30" s="9">
        <v>57.3</v>
      </c>
      <c r="N30" s="9">
        <v>51.7</v>
      </c>
      <c r="O30" s="9">
        <v>10.199999999999999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</row>
    <row r="31" spans="1:20">
      <c r="C31" s="8">
        <v>1</v>
      </c>
      <c r="D31" s="8" t="s">
        <v>40</v>
      </c>
      <c r="E31" s="9">
        <v>207.9</v>
      </c>
      <c r="F31" s="9">
        <v>7.5</v>
      </c>
      <c r="G31" s="9">
        <v>7.6</v>
      </c>
      <c r="H31" s="9">
        <v>196.1</v>
      </c>
      <c r="I31" s="9">
        <v>8.4</v>
      </c>
      <c r="J31" s="9">
        <v>7.6</v>
      </c>
      <c r="K31" s="9">
        <v>7.4</v>
      </c>
      <c r="L31" s="9">
        <v>23.2</v>
      </c>
      <c r="M31" s="9">
        <v>26.7</v>
      </c>
      <c r="N31" s="9">
        <v>16.5</v>
      </c>
      <c r="O31" s="9">
        <v>10.3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</row>
    <row r="32" spans="1:20">
      <c r="C32" s="8">
        <v>2</v>
      </c>
      <c r="D32" s="8" t="s">
        <v>39</v>
      </c>
      <c r="E32" s="9">
        <v>113.9</v>
      </c>
      <c r="F32" s="9">
        <v>24.5</v>
      </c>
      <c r="G32" s="9">
        <v>25.2</v>
      </c>
      <c r="H32" s="9">
        <v>75.5</v>
      </c>
      <c r="I32" s="9">
        <v>25.5</v>
      </c>
      <c r="J32" s="9">
        <v>24.8</v>
      </c>
      <c r="K32" s="9">
        <v>25</v>
      </c>
      <c r="L32" s="9">
        <v>75.2</v>
      </c>
      <c r="M32" s="9">
        <v>21.6</v>
      </c>
      <c r="N32" s="9">
        <v>12.8</v>
      </c>
      <c r="O32" s="9">
        <v>11.2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</row>
    <row r="33" spans="1:20">
      <c r="C33" s="8">
        <v>2</v>
      </c>
      <c r="D33" s="8" t="s">
        <v>40</v>
      </c>
      <c r="E33" s="9">
        <v>83.2</v>
      </c>
      <c r="F33" s="9">
        <v>18</v>
      </c>
      <c r="G33" s="9">
        <v>18.399999999999999</v>
      </c>
      <c r="H33" s="9">
        <v>55.1</v>
      </c>
      <c r="I33" s="9">
        <v>18.5</v>
      </c>
      <c r="J33" s="9">
        <v>18.2</v>
      </c>
      <c r="K33" s="9">
        <v>18.2</v>
      </c>
      <c r="L33" s="9">
        <v>54.9</v>
      </c>
      <c r="M33" s="9">
        <v>18.100000000000001</v>
      </c>
      <c r="N33" s="9">
        <v>7.4</v>
      </c>
      <c r="O33" s="9">
        <v>11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</row>
    <row r="34" spans="1:20">
      <c r="C34" s="8">
        <v>3</v>
      </c>
      <c r="D34" s="8" t="s">
        <v>39</v>
      </c>
      <c r="E34" s="9">
        <v>917.1</v>
      </c>
      <c r="F34" s="9">
        <v>108.6</v>
      </c>
      <c r="G34" s="9">
        <v>109.4</v>
      </c>
      <c r="H34" s="9">
        <v>735.8</v>
      </c>
      <c r="I34" s="9">
        <v>116.8</v>
      </c>
      <c r="J34" s="9">
        <v>108.8</v>
      </c>
      <c r="K34" s="9">
        <v>109.2</v>
      </c>
      <c r="L34" s="9">
        <v>334.7</v>
      </c>
      <c r="M34" s="9">
        <v>139.80000000000001</v>
      </c>
      <c r="N34" s="9">
        <v>134.30000000000001</v>
      </c>
      <c r="O34" s="9">
        <v>12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</row>
    <row r="35" spans="1:20">
      <c r="C35" s="8">
        <v>3</v>
      </c>
      <c r="D35" s="8" t="s">
        <v>40</v>
      </c>
      <c r="E35" s="9">
        <v>242</v>
      </c>
      <c r="F35" s="9">
        <v>28.9</v>
      </c>
      <c r="G35" s="9">
        <v>29.1</v>
      </c>
      <c r="H35" s="9">
        <v>193.9</v>
      </c>
      <c r="I35" s="9">
        <v>30.4</v>
      </c>
      <c r="J35" s="9">
        <v>29.1</v>
      </c>
      <c r="K35" s="9">
        <v>28.8</v>
      </c>
      <c r="L35" s="9">
        <v>88.2</v>
      </c>
      <c r="M35" s="9">
        <v>40.700000000000003</v>
      </c>
      <c r="N35" s="9">
        <v>29.6</v>
      </c>
      <c r="O35" s="9">
        <v>11.4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</row>
    <row r="36" spans="1:20">
      <c r="C36" s="8">
        <v>3</v>
      </c>
      <c r="D36" s="8" t="s">
        <v>41</v>
      </c>
      <c r="E36" s="9">
        <v>898.6</v>
      </c>
      <c r="F36" s="9">
        <v>924.5</v>
      </c>
      <c r="G36" s="9">
        <v>899</v>
      </c>
      <c r="H36" s="9">
        <v>26</v>
      </c>
      <c r="I36" s="9">
        <v>10.3</v>
      </c>
      <c r="J36" s="9">
        <v>10.4</v>
      </c>
      <c r="K36" s="9">
        <v>10.4</v>
      </c>
      <c r="L36" s="9">
        <v>0.1</v>
      </c>
      <c r="M36" s="9">
        <v>215.6</v>
      </c>
      <c r="N36" s="9">
        <v>215.6</v>
      </c>
      <c r="O36" s="9">
        <v>215.7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</row>
    <row r="37" spans="1:20">
      <c r="C37" s="8">
        <v>3</v>
      </c>
      <c r="D37" s="8" t="s">
        <v>42</v>
      </c>
      <c r="E37" s="9">
        <v>802.8</v>
      </c>
      <c r="F37" s="9">
        <v>801.2</v>
      </c>
      <c r="G37" s="9">
        <v>0.2</v>
      </c>
      <c r="H37" s="9">
        <v>1.5</v>
      </c>
      <c r="I37" s="9">
        <v>9.1</v>
      </c>
      <c r="J37" s="9">
        <v>8.9</v>
      </c>
      <c r="K37" s="9">
        <v>0.1</v>
      </c>
      <c r="L37" s="9">
        <v>1.5</v>
      </c>
      <c r="M37" s="9">
        <v>110.3</v>
      </c>
      <c r="N37" s="9">
        <v>215.6</v>
      </c>
      <c r="O37" s="9">
        <v>106.1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</row>
    <row r="38" spans="1:20">
      <c r="C38" s="8">
        <v>3</v>
      </c>
      <c r="D38" s="8" t="s">
        <v>43</v>
      </c>
      <c r="E38" s="9">
        <v>923</v>
      </c>
      <c r="F38" s="9">
        <v>923.2</v>
      </c>
      <c r="G38" s="9">
        <v>121.8</v>
      </c>
      <c r="H38" s="9">
        <v>821.1</v>
      </c>
      <c r="I38" s="9">
        <v>120.3</v>
      </c>
      <c r="J38" s="9">
        <v>131.80000000000001</v>
      </c>
      <c r="K38" s="9">
        <v>121.9</v>
      </c>
      <c r="L38" s="9">
        <v>373.4</v>
      </c>
      <c r="M38" s="9">
        <v>141.30000000000001</v>
      </c>
      <c r="N38" s="9">
        <v>215.6</v>
      </c>
      <c r="O38" s="9">
        <v>120.5</v>
      </c>
      <c r="P38" s="9">
        <v>0</v>
      </c>
      <c r="Q38" s="9">
        <v>0</v>
      </c>
      <c r="R38" s="9">
        <v>0</v>
      </c>
      <c r="S38" s="9">
        <v>0</v>
      </c>
      <c r="T38" s="9">
        <v>0</v>
      </c>
    </row>
    <row r="39" spans="1:20">
      <c r="C39" s="8">
        <v>4</v>
      </c>
      <c r="D39" s="8" t="s">
        <v>39</v>
      </c>
      <c r="E39" s="9">
        <v>53.7</v>
      </c>
      <c r="F39" s="9">
        <v>42.6</v>
      </c>
      <c r="G39" s="9">
        <v>43.5</v>
      </c>
      <c r="H39" s="9">
        <v>139.30000000000001</v>
      </c>
      <c r="I39" s="9">
        <v>53.6</v>
      </c>
      <c r="J39" s="9">
        <v>42.8</v>
      </c>
      <c r="K39" s="9">
        <v>43.3</v>
      </c>
      <c r="L39" s="9">
        <v>139.30000000000001</v>
      </c>
      <c r="M39" s="9">
        <v>158.5</v>
      </c>
      <c r="N39" s="9">
        <v>158.80000000000001</v>
      </c>
      <c r="O39" s="9">
        <v>9.9</v>
      </c>
      <c r="P39" s="9">
        <v>0</v>
      </c>
      <c r="Q39" s="9">
        <v>1503.8</v>
      </c>
      <c r="R39" s="9">
        <v>0</v>
      </c>
      <c r="S39" s="9">
        <v>0</v>
      </c>
      <c r="T39" s="9">
        <v>1503.8</v>
      </c>
    </row>
    <row r="40" spans="1:20">
      <c r="C40" s="8">
        <v>4</v>
      </c>
      <c r="D40" s="8" t="s">
        <v>40</v>
      </c>
      <c r="E40" s="9">
        <v>9.3000000000000007</v>
      </c>
      <c r="F40" s="9">
        <v>8.5</v>
      </c>
      <c r="G40" s="9">
        <v>8.5</v>
      </c>
      <c r="H40" s="9">
        <v>26.2</v>
      </c>
      <c r="I40" s="9">
        <v>9.9</v>
      </c>
      <c r="J40" s="9">
        <v>8.6</v>
      </c>
      <c r="K40" s="9">
        <v>8.1999999999999993</v>
      </c>
      <c r="L40" s="9">
        <v>26.6</v>
      </c>
      <c r="M40" s="9">
        <v>35</v>
      </c>
      <c r="N40" s="9">
        <v>24.8</v>
      </c>
      <c r="O40" s="9">
        <v>10.199999999999999</v>
      </c>
      <c r="P40" s="9">
        <v>0</v>
      </c>
      <c r="Q40" s="9">
        <v>286.2</v>
      </c>
      <c r="R40" s="9">
        <v>0</v>
      </c>
      <c r="S40" s="9">
        <v>0</v>
      </c>
      <c r="T40" s="9">
        <v>286.2</v>
      </c>
    </row>
    <row r="41" spans="1:20">
      <c r="C41" s="8">
        <v>4</v>
      </c>
      <c r="D41" s="8" t="s">
        <v>41</v>
      </c>
      <c r="E41" s="9">
        <v>10.3</v>
      </c>
      <c r="F41" s="9">
        <v>10.3</v>
      </c>
      <c r="G41" s="9">
        <v>10.4</v>
      </c>
      <c r="H41" s="9">
        <v>0.2</v>
      </c>
      <c r="I41" s="9">
        <v>10.3</v>
      </c>
      <c r="J41" s="9">
        <v>10.3</v>
      </c>
      <c r="K41" s="9">
        <v>10.4</v>
      </c>
      <c r="L41" s="9">
        <v>0.2</v>
      </c>
      <c r="M41" s="9">
        <v>214.8</v>
      </c>
      <c r="N41" s="9">
        <v>214.9</v>
      </c>
      <c r="O41" s="9">
        <v>215</v>
      </c>
      <c r="P41" s="9">
        <v>0</v>
      </c>
      <c r="Q41" s="9">
        <v>1166.8</v>
      </c>
      <c r="R41" s="9">
        <v>1167.0999999999999</v>
      </c>
      <c r="S41" s="9">
        <v>1167.0999999999999</v>
      </c>
      <c r="T41" s="9">
        <v>0.8</v>
      </c>
    </row>
    <row r="42" spans="1:20">
      <c r="C42" s="8">
        <v>4</v>
      </c>
      <c r="D42" s="8" t="s">
        <v>42</v>
      </c>
      <c r="E42" s="9">
        <v>8.6</v>
      </c>
      <c r="F42" s="9">
        <v>9</v>
      </c>
      <c r="G42" s="9">
        <v>0.6</v>
      </c>
      <c r="H42" s="9">
        <v>0.2</v>
      </c>
      <c r="I42" s="9">
        <v>9</v>
      </c>
      <c r="J42" s="9">
        <v>8.9</v>
      </c>
      <c r="K42" s="9">
        <v>0.5</v>
      </c>
      <c r="L42" s="9">
        <v>0.2</v>
      </c>
      <c r="M42" s="9">
        <v>108</v>
      </c>
      <c r="N42" s="9">
        <v>215</v>
      </c>
      <c r="O42" s="9">
        <v>107.7</v>
      </c>
      <c r="P42" s="9">
        <v>0</v>
      </c>
      <c r="Q42" s="9">
        <v>1010.8</v>
      </c>
      <c r="R42" s="9">
        <v>1010.8</v>
      </c>
      <c r="S42" s="9">
        <v>0</v>
      </c>
      <c r="T42" s="9">
        <v>0</v>
      </c>
    </row>
    <row r="43" spans="1:20">
      <c r="C43" s="8">
        <v>4</v>
      </c>
      <c r="D43" s="8" t="s">
        <v>43</v>
      </c>
      <c r="E43" s="9">
        <v>62.6</v>
      </c>
      <c r="F43" s="9">
        <v>73.5</v>
      </c>
      <c r="G43" s="9">
        <v>60.5</v>
      </c>
      <c r="H43" s="9">
        <v>195.7</v>
      </c>
      <c r="I43" s="9">
        <v>62.5</v>
      </c>
      <c r="J43" s="9">
        <v>73.5</v>
      </c>
      <c r="K43" s="9">
        <v>60.6</v>
      </c>
      <c r="L43" s="9">
        <v>195.7</v>
      </c>
      <c r="M43" s="9">
        <v>150.19999999999999</v>
      </c>
      <c r="N43" s="9">
        <v>214.9</v>
      </c>
      <c r="O43" s="9">
        <v>155.1</v>
      </c>
      <c r="P43" s="9">
        <v>0</v>
      </c>
      <c r="Q43" s="9">
        <v>1443.2</v>
      </c>
      <c r="R43" s="9">
        <v>1480.8</v>
      </c>
      <c r="S43" s="9">
        <v>0</v>
      </c>
      <c r="T43" s="9">
        <v>2112.8000000000002</v>
      </c>
    </row>
    <row r="44" spans="1:20">
      <c r="A44" s="8" t="s">
        <v>24</v>
      </c>
      <c r="B44" s="8" t="s">
        <v>44</v>
      </c>
      <c r="C44" s="8">
        <v>1</v>
      </c>
      <c r="D44" s="8" t="s">
        <v>39</v>
      </c>
      <c r="E44" s="9">
        <v>544.6</v>
      </c>
      <c r="F44" s="9">
        <v>1.5</v>
      </c>
      <c r="G44" s="9">
        <v>1.5</v>
      </c>
      <c r="H44" s="9">
        <v>545.20000000000005</v>
      </c>
      <c r="I44" s="9">
        <v>3</v>
      </c>
      <c r="J44" s="9">
        <v>1.3</v>
      </c>
      <c r="K44" s="9">
        <v>1.8</v>
      </c>
      <c r="L44" s="9">
        <v>0</v>
      </c>
      <c r="M44" s="9">
        <v>57.2</v>
      </c>
      <c r="N44" s="9">
        <v>51.6</v>
      </c>
      <c r="O44" s="9">
        <v>10.4</v>
      </c>
      <c r="P44" s="9">
        <v>0</v>
      </c>
      <c r="Q44" s="9">
        <v>0</v>
      </c>
      <c r="R44" s="9">
        <v>0</v>
      </c>
      <c r="S44" s="9">
        <v>0</v>
      </c>
      <c r="T44" s="9">
        <v>0</v>
      </c>
    </row>
    <row r="45" spans="1:20">
      <c r="C45" s="8">
        <v>1</v>
      </c>
      <c r="D45" s="8" t="s">
        <v>40</v>
      </c>
      <c r="E45" s="9">
        <v>214.1</v>
      </c>
      <c r="F45" s="9">
        <v>0.3</v>
      </c>
      <c r="G45" s="9">
        <v>0.9</v>
      </c>
      <c r="H45" s="9">
        <v>213.9</v>
      </c>
      <c r="I45" s="9">
        <v>1.2</v>
      </c>
      <c r="J45" s="9">
        <v>0.2</v>
      </c>
      <c r="K45" s="9">
        <v>1</v>
      </c>
      <c r="L45" s="9">
        <v>0</v>
      </c>
      <c r="M45" s="9">
        <v>26.7</v>
      </c>
      <c r="N45" s="9">
        <v>16.399999999999999</v>
      </c>
      <c r="O45" s="9">
        <v>10.4</v>
      </c>
      <c r="P45" s="9">
        <v>0</v>
      </c>
      <c r="Q45" s="9">
        <v>0</v>
      </c>
      <c r="R45" s="9">
        <v>0</v>
      </c>
      <c r="S45" s="9">
        <v>0</v>
      </c>
      <c r="T45" s="9">
        <v>0</v>
      </c>
    </row>
    <row r="46" spans="1:20">
      <c r="C46" s="8">
        <v>2</v>
      </c>
      <c r="D46" s="8" t="s">
        <v>39</v>
      </c>
      <c r="E46" s="9">
        <v>132.5</v>
      </c>
      <c r="F46" s="9">
        <v>0.6</v>
      </c>
      <c r="G46" s="9">
        <v>0.7</v>
      </c>
      <c r="H46" s="9">
        <v>132.69999999999999</v>
      </c>
      <c r="I46" s="9">
        <v>0.9</v>
      </c>
      <c r="J46" s="9">
        <v>0.3</v>
      </c>
      <c r="K46" s="9">
        <v>0.9</v>
      </c>
      <c r="L46" s="9">
        <v>0</v>
      </c>
      <c r="M46" s="9">
        <v>20.9</v>
      </c>
      <c r="N46" s="9">
        <v>12.1</v>
      </c>
      <c r="O46" s="9">
        <v>11.3</v>
      </c>
      <c r="P46" s="9">
        <v>0</v>
      </c>
      <c r="Q46" s="9">
        <v>0</v>
      </c>
      <c r="R46" s="9">
        <v>0</v>
      </c>
      <c r="S46" s="9">
        <v>0</v>
      </c>
      <c r="T46" s="9">
        <v>0</v>
      </c>
    </row>
    <row r="47" spans="1:20">
      <c r="C47" s="8">
        <v>2</v>
      </c>
      <c r="D47" s="8" t="s">
        <v>40</v>
      </c>
      <c r="E47" s="9">
        <v>98.1</v>
      </c>
      <c r="F47" s="9">
        <v>0.4</v>
      </c>
      <c r="G47" s="9">
        <v>0.7</v>
      </c>
      <c r="H47" s="9">
        <v>98.1</v>
      </c>
      <c r="I47" s="9">
        <v>0.7</v>
      </c>
      <c r="J47" s="9">
        <v>0.2</v>
      </c>
      <c r="K47" s="9">
        <v>0.8</v>
      </c>
      <c r="L47" s="9">
        <v>0</v>
      </c>
      <c r="M47" s="9">
        <v>17.8</v>
      </c>
      <c r="N47" s="9">
        <v>7</v>
      </c>
      <c r="O47" s="9">
        <v>11.2</v>
      </c>
      <c r="P47" s="9">
        <v>0</v>
      </c>
      <c r="Q47" s="9">
        <v>0</v>
      </c>
      <c r="R47" s="9">
        <v>0</v>
      </c>
      <c r="S47" s="9">
        <v>0</v>
      </c>
      <c r="T47" s="9">
        <v>0</v>
      </c>
    </row>
    <row r="48" spans="1:20">
      <c r="C48" s="8">
        <v>3</v>
      </c>
      <c r="D48" s="8" t="s">
        <v>39</v>
      </c>
      <c r="E48" s="9">
        <v>918.4</v>
      </c>
      <c r="F48" s="9">
        <v>3.5</v>
      </c>
      <c r="G48" s="9">
        <v>3.4</v>
      </c>
      <c r="H48" s="9">
        <v>920.3</v>
      </c>
      <c r="I48" s="9">
        <v>6.9</v>
      </c>
      <c r="J48" s="9">
        <v>3.3</v>
      </c>
      <c r="K48" s="9">
        <v>3.7</v>
      </c>
      <c r="L48" s="9">
        <v>0</v>
      </c>
      <c r="M48" s="9">
        <v>126.1</v>
      </c>
      <c r="N48" s="9">
        <v>120.9</v>
      </c>
      <c r="O48" s="9">
        <v>12.4</v>
      </c>
      <c r="P48" s="9">
        <v>0</v>
      </c>
      <c r="Q48" s="9">
        <v>0</v>
      </c>
      <c r="R48" s="9">
        <v>0</v>
      </c>
      <c r="S48" s="9">
        <v>0</v>
      </c>
      <c r="T48" s="9">
        <v>0</v>
      </c>
    </row>
    <row r="49" spans="1:20">
      <c r="C49" s="8">
        <v>3</v>
      </c>
      <c r="D49" s="8" t="s">
        <v>40</v>
      </c>
      <c r="E49" s="9">
        <v>267.10000000000002</v>
      </c>
      <c r="F49" s="9">
        <v>0.6</v>
      </c>
      <c r="G49" s="9">
        <v>1.3</v>
      </c>
      <c r="H49" s="9">
        <v>267.2</v>
      </c>
      <c r="I49" s="9">
        <v>1.9</v>
      </c>
      <c r="J49" s="9">
        <v>0.5</v>
      </c>
      <c r="K49" s="9">
        <v>1.4</v>
      </c>
      <c r="L49" s="9">
        <v>0</v>
      </c>
      <c r="M49" s="9">
        <v>40.5</v>
      </c>
      <c r="N49" s="9">
        <v>29.2</v>
      </c>
      <c r="O49" s="9">
        <v>11.7</v>
      </c>
      <c r="P49" s="9">
        <v>0</v>
      </c>
      <c r="Q49" s="9">
        <v>0</v>
      </c>
      <c r="R49" s="9">
        <v>0</v>
      </c>
      <c r="S49" s="9">
        <v>0</v>
      </c>
      <c r="T49" s="9">
        <v>0</v>
      </c>
    </row>
    <row r="50" spans="1:20">
      <c r="C50" s="8">
        <v>3</v>
      </c>
      <c r="D50" s="8" t="s">
        <v>41</v>
      </c>
      <c r="E50" s="9">
        <v>898.6</v>
      </c>
      <c r="F50" s="9">
        <v>924.5</v>
      </c>
      <c r="G50" s="9">
        <v>899</v>
      </c>
      <c r="H50" s="9">
        <v>26</v>
      </c>
      <c r="I50" s="9">
        <v>10.4</v>
      </c>
      <c r="J50" s="9">
        <v>10.4</v>
      </c>
      <c r="K50" s="9">
        <v>10.4</v>
      </c>
      <c r="L50" s="9">
        <v>0</v>
      </c>
      <c r="M50" s="9">
        <v>215.6</v>
      </c>
      <c r="N50" s="9">
        <v>215.6</v>
      </c>
      <c r="O50" s="9">
        <v>215.7</v>
      </c>
      <c r="P50" s="9">
        <v>0</v>
      </c>
      <c r="Q50" s="9">
        <v>0</v>
      </c>
      <c r="R50" s="9">
        <v>0</v>
      </c>
      <c r="S50" s="9">
        <v>0</v>
      </c>
      <c r="T50" s="9">
        <v>0</v>
      </c>
    </row>
    <row r="51" spans="1:20">
      <c r="C51" s="8">
        <v>3</v>
      </c>
      <c r="D51" s="8" t="s">
        <v>42</v>
      </c>
      <c r="E51" s="9">
        <v>802.3</v>
      </c>
      <c r="F51" s="9">
        <v>801.7</v>
      </c>
      <c r="G51" s="9">
        <v>0.5</v>
      </c>
      <c r="H51" s="9">
        <v>0.4</v>
      </c>
      <c r="I51" s="9">
        <v>9</v>
      </c>
      <c r="J51" s="9">
        <v>8.9</v>
      </c>
      <c r="K51" s="9">
        <v>0.5</v>
      </c>
      <c r="L51" s="9">
        <v>0</v>
      </c>
      <c r="M51" s="9">
        <v>110.3</v>
      </c>
      <c r="N51" s="9">
        <v>215.6</v>
      </c>
      <c r="O51" s="9">
        <v>106.1</v>
      </c>
      <c r="P51" s="9">
        <v>0</v>
      </c>
      <c r="Q51" s="9">
        <v>0</v>
      </c>
      <c r="R51" s="9">
        <v>0</v>
      </c>
      <c r="S51" s="9">
        <v>0</v>
      </c>
      <c r="T51" s="9">
        <v>0</v>
      </c>
    </row>
    <row r="52" spans="1:20">
      <c r="C52" s="8">
        <v>3</v>
      </c>
      <c r="D52" s="8" t="s">
        <v>43</v>
      </c>
      <c r="E52" s="9">
        <v>927.8</v>
      </c>
      <c r="F52" s="9">
        <v>920.9</v>
      </c>
      <c r="G52" s="9">
        <v>3.3</v>
      </c>
      <c r="H52" s="9">
        <v>924.3</v>
      </c>
      <c r="I52" s="9">
        <v>9.1999999999999993</v>
      </c>
      <c r="J52" s="9">
        <v>9</v>
      </c>
      <c r="K52" s="9">
        <v>3.3</v>
      </c>
      <c r="L52" s="9">
        <v>0</v>
      </c>
      <c r="M52" s="9">
        <v>126.1</v>
      </c>
      <c r="N52" s="9">
        <v>215.6</v>
      </c>
      <c r="O52" s="9">
        <v>120.4</v>
      </c>
      <c r="P52" s="9">
        <v>0</v>
      </c>
      <c r="Q52" s="9">
        <v>0</v>
      </c>
      <c r="R52" s="9">
        <v>0</v>
      </c>
      <c r="S52" s="9">
        <v>0</v>
      </c>
      <c r="T52" s="9">
        <v>0</v>
      </c>
    </row>
    <row r="53" spans="1:20">
      <c r="C53" s="8">
        <v>4</v>
      </c>
      <c r="D53" s="8" t="s">
        <v>39</v>
      </c>
      <c r="E53" s="9">
        <v>8.8000000000000007</v>
      </c>
      <c r="F53" s="9">
        <v>4.7</v>
      </c>
      <c r="G53" s="9">
        <v>4.0999999999999996</v>
      </c>
      <c r="H53" s="9">
        <v>0</v>
      </c>
      <c r="I53" s="9">
        <v>8.6999999999999993</v>
      </c>
      <c r="J53" s="9">
        <v>4.4000000000000004</v>
      </c>
      <c r="K53" s="9">
        <v>4.4000000000000004</v>
      </c>
      <c r="L53" s="9">
        <v>0</v>
      </c>
      <c r="M53" s="9">
        <v>157.1</v>
      </c>
      <c r="N53" s="9">
        <v>157.19999999999999</v>
      </c>
      <c r="O53" s="9">
        <v>10.199999999999999</v>
      </c>
      <c r="P53" s="9">
        <v>0</v>
      </c>
      <c r="Q53" s="9">
        <v>1489.8</v>
      </c>
      <c r="R53" s="9">
        <v>0</v>
      </c>
      <c r="S53" s="9">
        <v>0</v>
      </c>
      <c r="T53" s="9">
        <v>1489.8</v>
      </c>
    </row>
    <row r="54" spans="1:20">
      <c r="C54" s="8">
        <v>4</v>
      </c>
      <c r="D54" s="8" t="s">
        <v>40</v>
      </c>
      <c r="E54" s="9">
        <v>0.7</v>
      </c>
      <c r="F54" s="9">
        <v>0.4</v>
      </c>
      <c r="G54" s="9">
        <v>1.2</v>
      </c>
      <c r="H54" s="9">
        <v>0.7</v>
      </c>
      <c r="I54" s="9">
        <v>1.7</v>
      </c>
      <c r="J54" s="9">
        <v>0.4</v>
      </c>
      <c r="K54" s="9">
        <v>1.3</v>
      </c>
      <c r="L54" s="9">
        <v>0</v>
      </c>
      <c r="M54" s="9">
        <v>35</v>
      </c>
      <c r="N54" s="9">
        <v>24.8</v>
      </c>
      <c r="O54" s="9">
        <v>10.3</v>
      </c>
      <c r="P54" s="9">
        <v>0</v>
      </c>
      <c r="Q54" s="9">
        <v>286.5</v>
      </c>
      <c r="R54" s="9">
        <v>0</v>
      </c>
      <c r="S54" s="9">
        <v>0</v>
      </c>
      <c r="T54" s="9">
        <v>286.5</v>
      </c>
    </row>
    <row r="55" spans="1:20">
      <c r="C55" s="8">
        <v>4</v>
      </c>
      <c r="D55" s="8" t="s">
        <v>41</v>
      </c>
      <c r="E55" s="9">
        <v>10.3</v>
      </c>
      <c r="F55" s="9">
        <v>10.3</v>
      </c>
      <c r="G55" s="9">
        <v>10.3</v>
      </c>
      <c r="H55" s="9">
        <v>0</v>
      </c>
      <c r="I55" s="9">
        <v>10.3</v>
      </c>
      <c r="J55" s="9">
        <v>10.3</v>
      </c>
      <c r="K55" s="9">
        <v>10.3</v>
      </c>
      <c r="L55" s="9">
        <v>0</v>
      </c>
      <c r="M55" s="9">
        <v>214.8</v>
      </c>
      <c r="N55" s="9">
        <v>214.9</v>
      </c>
      <c r="O55" s="9">
        <v>215</v>
      </c>
      <c r="P55" s="9">
        <v>0</v>
      </c>
      <c r="Q55" s="9">
        <v>1166.8</v>
      </c>
      <c r="R55" s="9">
        <v>1167.0999999999999</v>
      </c>
      <c r="S55" s="9">
        <v>1167.0999999999999</v>
      </c>
      <c r="T55" s="9">
        <v>0.8</v>
      </c>
    </row>
    <row r="56" spans="1:20">
      <c r="C56" s="8">
        <v>4</v>
      </c>
      <c r="D56" s="8" t="s">
        <v>42</v>
      </c>
      <c r="E56" s="9">
        <v>8.5</v>
      </c>
      <c r="F56" s="9">
        <v>9.1</v>
      </c>
      <c r="G56" s="9">
        <v>0.6</v>
      </c>
      <c r="H56" s="9">
        <v>0.3</v>
      </c>
      <c r="I56" s="9">
        <v>9</v>
      </c>
      <c r="J56" s="9">
        <v>9</v>
      </c>
      <c r="K56" s="9">
        <v>0.5</v>
      </c>
      <c r="L56" s="9">
        <v>0</v>
      </c>
      <c r="M56" s="9">
        <v>108</v>
      </c>
      <c r="N56" s="9">
        <v>215</v>
      </c>
      <c r="O56" s="9">
        <v>107.7</v>
      </c>
      <c r="P56" s="9">
        <v>0</v>
      </c>
      <c r="Q56" s="9">
        <v>1010.8</v>
      </c>
      <c r="R56" s="9">
        <v>1010.8</v>
      </c>
      <c r="S56" s="9">
        <v>0</v>
      </c>
      <c r="T56" s="9">
        <v>0</v>
      </c>
    </row>
    <row r="57" spans="1:20">
      <c r="C57" s="8">
        <v>4</v>
      </c>
      <c r="D57" s="8" t="s">
        <v>43</v>
      </c>
      <c r="E57" s="9">
        <v>9.1999999999999993</v>
      </c>
      <c r="F57" s="9">
        <v>9.6</v>
      </c>
      <c r="G57" s="9">
        <v>5.9</v>
      </c>
      <c r="H57" s="9">
        <v>0.1</v>
      </c>
      <c r="I57" s="9">
        <v>9.3000000000000007</v>
      </c>
      <c r="J57" s="9">
        <v>9.6</v>
      </c>
      <c r="K57" s="9">
        <v>5.9</v>
      </c>
      <c r="L57" s="9">
        <v>0</v>
      </c>
      <c r="M57" s="9">
        <v>146.30000000000001</v>
      </c>
      <c r="N57" s="9">
        <v>214.9</v>
      </c>
      <c r="O57" s="9">
        <v>155.1</v>
      </c>
      <c r="P57" s="9">
        <v>0</v>
      </c>
      <c r="Q57" s="9">
        <v>1403.3</v>
      </c>
      <c r="R57" s="9">
        <v>1480</v>
      </c>
      <c r="S57" s="9">
        <v>0</v>
      </c>
      <c r="T57" s="9">
        <v>2057.3000000000002</v>
      </c>
    </row>
    <row r="58" spans="1:20">
      <c r="A58" s="8" t="s">
        <v>45</v>
      </c>
      <c r="B58" s="8" t="s">
        <v>46</v>
      </c>
      <c r="C58" s="8">
        <v>1</v>
      </c>
      <c r="D58" s="8" t="s">
        <v>39</v>
      </c>
      <c r="E58" s="9">
        <v>0</v>
      </c>
      <c r="F58" s="9">
        <v>0</v>
      </c>
      <c r="G58" s="9">
        <v>0</v>
      </c>
      <c r="H58" s="9">
        <v>0</v>
      </c>
      <c r="I58" s="9">
        <v>15.3</v>
      </c>
      <c r="J58" s="9">
        <v>0.2</v>
      </c>
      <c r="K58" s="9">
        <v>0.2</v>
      </c>
      <c r="L58" s="9">
        <v>15.3</v>
      </c>
      <c r="M58" s="9">
        <v>185.7</v>
      </c>
      <c r="N58" s="9">
        <v>180</v>
      </c>
      <c r="O58" s="9">
        <v>5.7</v>
      </c>
      <c r="P58" s="9">
        <v>0</v>
      </c>
      <c r="Q58" s="9">
        <v>0</v>
      </c>
      <c r="R58" s="9">
        <v>0</v>
      </c>
      <c r="S58" s="9">
        <v>0</v>
      </c>
      <c r="T58" s="9">
        <v>0</v>
      </c>
    </row>
    <row r="59" spans="1:20">
      <c r="C59" s="8">
        <v>1</v>
      </c>
      <c r="D59" s="8" t="s">
        <v>40</v>
      </c>
      <c r="E59" s="9">
        <v>0</v>
      </c>
      <c r="F59" s="9">
        <v>0</v>
      </c>
      <c r="G59" s="9">
        <v>0</v>
      </c>
      <c r="H59" s="9">
        <v>0</v>
      </c>
      <c r="I59" s="9">
        <v>14.5</v>
      </c>
      <c r="J59" s="9">
        <v>0.2</v>
      </c>
      <c r="K59" s="9">
        <v>0.2</v>
      </c>
      <c r="L59" s="9">
        <v>14.5</v>
      </c>
      <c r="M59" s="9">
        <v>176.4</v>
      </c>
      <c r="N59" s="9">
        <v>170.8</v>
      </c>
      <c r="O59" s="9">
        <v>5.7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</row>
    <row r="60" spans="1:20">
      <c r="C60" s="8">
        <v>2</v>
      </c>
      <c r="D60" s="8" t="s">
        <v>39</v>
      </c>
      <c r="E60" s="9">
        <v>0</v>
      </c>
      <c r="F60" s="9">
        <v>0</v>
      </c>
      <c r="G60" s="9">
        <v>0</v>
      </c>
      <c r="H60" s="9">
        <v>0</v>
      </c>
      <c r="I60" s="9">
        <v>14.4</v>
      </c>
      <c r="J60" s="9">
        <v>0.2</v>
      </c>
      <c r="K60" s="9">
        <v>0.2</v>
      </c>
      <c r="L60" s="9">
        <v>14.4</v>
      </c>
      <c r="M60" s="9">
        <v>175.1</v>
      </c>
      <c r="N60" s="9">
        <v>169.4</v>
      </c>
      <c r="O60" s="9">
        <v>5.7</v>
      </c>
      <c r="P60" s="9">
        <v>0</v>
      </c>
      <c r="Q60" s="9">
        <v>0</v>
      </c>
      <c r="R60" s="9">
        <v>0</v>
      </c>
      <c r="S60" s="9">
        <v>0</v>
      </c>
      <c r="T60" s="9">
        <v>0</v>
      </c>
    </row>
    <row r="61" spans="1:20">
      <c r="C61" s="8">
        <v>2</v>
      </c>
      <c r="D61" s="8" t="s">
        <v>40</v>
      </c>
      <c r="E61" s="9">
        <v>0</v>
      </c>
      <c r="F61" s="9">
        <v>0</v>
      </c>
      <c r="G61" s="9">
        <v>0</v>
      </c>
      <c r="H61" s="9">
        <v>0</v>
      </c>
      <c r="I61" s="9">
        <v>13.7</v>
      </c>
      <c r="J61" s="9">
        <v>0.2</v>
      </c>
      <c r="K61" s="9">
        <v>0.2</v>
      </c>
      <c r="L61" s="9">
        <v>13.7</v>
      </c>
      <c r="M61" s="9">
        <v>166.8</v>
      </c>
      <c r="N61" s="9">
        <v>161.19999999999999</v>
      </c>
      <c r="O61" s="9">
        <v>5.7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</row>
    <row r="62" spans="1:20">
      <c r="C62" s="8">
        <v>3</v>
      </c>
      <c r="D62" s="8" t="s">
        <v>39</v>
      </c>
      <c r="E62" s="9">
        <v>0</v>
      </c>
      <c r="F62" s="9">
        <v>0</v>
      </c>
      <c r="G62" s="9">
        <v>0</v>
      </c>
      <c r="H62" s="9">
        <v>0</v>
      </c>
      <c r="I62" s="9">
        <v>15.5</v>
      </c>
      <c r="J62" s="9">
        <v>0.2</v>
      </c>
      <c r="K62" s="9">
        <v>0.2</v>
      </c>
      <c r="L62" s="9">
        <v>15.6</v>
      </c>
      <c r="M62" s="9">
        <v>189.2</v>
      </c>
      <c r="N62" s="9">
        <v>183.6</v>
      </c>
      <c r="O62" s="9">
        <v>5.7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</row>
    <row r="63" spans="1:20">
      <c r="C63" s="8">
        <v>3</v>
      </c>
      <c r="D63" s="8" t="s">
        <v>40</v>
      </c>
      <c r="E63" s="9">
        <v>0</v>
      </c>
      <c r="F63" s="9">
        <v>0</v>
      </c>
      <c r="G63" s="9">
        <v>0</v>
      </c>
      <c r="H63" s="9">
        <v>0</v>
      </c>
      <c r="I63" s="9">
        <v>14.7</v>
      </c>
      <c r="J63" s="9">
        <v>0.2</v>
      </c>
      <c r="K63" s="9">
        <v>0.2</v>
      </c>
      <c r="L63" s="9">
        <v>14.8</v>
      </c>
      <c r="M63" s="9">
        <v>179.6</v>
      </c>
      <c r="N63" s="9">
        <v>174</v>
      </c>
      <c r="O63" s="9">
        <v>5.7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</row>
    <row r="64" spans="1:20">
      <c r="C64" s="8">
        <v>3</v>
      </c>
      <c r="D64" s="8" t="s">
        <v>41</v>
      </c>
      <c r="E64" s="9">
        <v>0</v>
      </c>
      <c r="F64" s="9">
        <v>0</v>
      </c>
      <c r="G64" s="9">
        <v>0</v>
      </c>
      <c r="H64" s="9">
        <v>0</v>
      </c>
      <c r="I64" s="9">
        <v>10.3</v>
      </c>
      <c r="J64" s="9">
        <v>10.3</v>
      </c>
      <c r="K64" s="9">
        <v>10.5</v>
      </c>
      <c r="L64" s="9">
        <v>0.2</v>
      </c>
      <c r="M64" s="9">
        <v>215.6</v>
      </c>
      <c r="N64" s="9">
        <v>215.6</v>
      </c>
      <c r="O64" s="9">
        <v>215.7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</row>
    <row r="65" spans="1:20">
      <c r="C65" s="8">
        <v>3</v>
      </c>
      <c r="D65" s="8" t="s">
        <v>42</v>
      </c>
      <c r="E65" s="9">
        <v>0</v>
      </c>
      <c r="F65" s="9">
        <v>0</v>
      </c>
      <c r="G65" s="9">
        <v>0</v>
      </c>
      <c r="H65" s="9">
        <v>0</v>
      </c>
      <c r="I65" s="9">
        <v>9.3000000000000007</v>
      </c>
      <c r="J65" s="9">
        <v>8.6999999999999993</v>
      </c>
      <c r="K65" s="9">
        <v>0.2</v>
      </c>
      <c r="L65" s="9">
        <v>0.3</v>
      </c>
      <c r="M65" s="9">
        <v>114.3</v>
      </c>
      <c r="N65" s="9">
        <v>215.6</v>
      </c>
      <c r="O65" s="9">
        <v>101.3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</row>
    <row r="66" spans="1:20">
      <c r="C66" s="8">
        <v>3</v>
      </c>
      <c r="D66" s="8" t="s">
        <v>43</v>
      </c>
      <c r="E66" s="9">
        <v>0</v>
      </c>
      <c r="F66" s="9">
        <v>0</v>
      </c>
      <c r="G66" s="9">
        <v>0</v>
      </c>
      <c r="H66" s="9">
        <v>0</v>
      </c>
      <c r="I66" s="9">
        <v>17.600000000000001</v>
      </c>
      <c r="J66" s="9">
        <v>18.100000000000001</v>
      </c>
      <c r="K66" s="9">
        <v>0</v>
      </c>
      <c r="L66" s="9">
        <v>30.9</v>
      </c>
      <c r="M66" s="9">
        <v>211.6</v>
      </c>
      <c r="N66" s="9">
        <v>215.6</v>
      </c>
      <c r="O66" s="9">
        <v>217.1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</row>
    <row r="67" spans="1:20">
      <c r="C67" s="8">
        <v>4</v>
      </c>
      <c r="D67" s="8" t="s">
        <v>39</v>
      </c>
      <c r="E67" s="9">
        <v>15.6</v>
      </c>
      <c r="F67" s="9">
        <v>0</v>
      </c>
      <c r="G67" s="9">
        <v>0</v>
      </c>
      <c r="H67" s="9">
        <v>15.6</v>
      </c>
      <c r="I67" s="9">
        <v>15.5</v>
      </c>
      <c r="J67" s="9">
        <v>0.2</v>
      </c>
      <c r="K67" s="9">
        <v>0.2</v>
      </c>
      <c r="L67" s="9">
        <v>15.5</v>
      </c>
      <c r="M67" s="9">
        <v>188.7</v>
      </c>
      <c r="N67" s="9">
        <v>183</v>
      </c>
      <c r="O67" s="9">
        <v>5.7</v>
      </c>
      <c r="P67" s="9">
        <v>0</v>
      </c>
      <c r="Q67" s="9">
        <v>15.6</v>
      </c>
      <c r="R67" s="9">
        <v>0</v>
      </c>
      <c r="S67" s="9">
        <v>0</v>
      </c>
      <c r="T67" s="9">
        <v>15.6</v>
      </c>
    </row>
    <row r="68" spans="1:20">
      <c r="C68" s="8">
        <v>4</v>
      </c>
      <c r="D68" s="8" t="s">
        <v>40</v>
      </c>
      <c r="E68" s="9">
        <v>14.8</v>
      </c>
      <c r="F68" s="9">
        <v>0</v>
      </c>
      <c r="G68" s="9">
        <v>0</v>
      </c>
      <c r="H68" s="9">
        <v>14.8</v>
      </c>
      <c r="I68" s="9">
        <v>14.7</v>
      </c>
      <c r="J68" s="9">
        <v>0.2</v>
      </c>
      <c r="K68" s="9">
        <v>0.2</v>
      </c>
      <c r="L68" s="9">
        <v>14.7</v>
      </c>
      <c r="M68" s="9">
        <v>179.2</v>
      </c>
      <c r="N68" s="9">
        <v>173.5</v>
      </c>
      <c r="O68" s="9">
        <v>5.7</v>
      </c>
      <c r="P68" s="9">
        <v>0</v>
      </c>
      <c r="Q68" s="9">
        <v>14.8</v>
      </c>
      <c r="R68" s="9">
        <v>0</v>
      </c>
      <c r="S68" s="9">
        <v>0</v>
      </c>
      <c r="T68" s="9">
        <v>14.8</v>
      </c>
    </row>
    <row r="69" spans="1:20">
      <c r="C69" s="8">
        <v>4</v>
      </c>
      <c r="D69" s="8" t="s">
        <v>41</v>
      </c>
      <c r="E69" s="9">
        <v>10.3</v>
      </c>
      <c r="F69" s="9">
        <v>10.3</v>
      </c>
      <c r="G69" s="9">
        <v>10.5</v>
      </c>
      <c r="H69" s="9">
        <v>0.3</v>
      </c>
      <c r="I69" s="9">
        <v>10.3</v>
      </c>
      <c r="J69" s="9">
        <v>10.3</v>
      </c>
      <c r="K69" s="9">
        <v>10.5</v>
      </c>
      <c r="L69" s="9">
        <v>0.3</v>
      </c>
      <c r="M69" s="9">
        <v>215.3</v>
      </c>
      <c r="N69" s="9">
        <v>215.3</v>
      </c>
      <c r="O69" s="9">
        <v>215.5</v>
      </c>
      <c r="P69" s="9">
        <v>0</v>
      </c>
      <c r="Q69" s="9">
        <v>10.3</v>
      </c>
      <c r="R69" s="9">
        <v>10.3</v>
      </c>
      <c r="S69" s="9">
        <v>10.5</v>
      </c>
      <c r="T69" s="9">
        <v>0.3</v>
      </c>
    </row>
    <row r="70" spans="1:20">
      <c r="C70" s="8">
        <v>4</v>
      </c>
      <c r="D70" s="8" t="s">
        <v>42</v>
      </c>
      <c r="E70" s="9">
        <v>8.8000000000000007</v>
      </c>
      <c r="F70" s="9">
        <v>8.8000000000000007</v>
      </c>
      <c r="G70" s="9">
        <v>0</v>
      </c>
      <c r="H70" s="9">
        <v>0</v>
      </c>
      <c r="I70" s="9">
        <v>9.3000000000000007</v>
      </c>
      <c r="J70" s="9">
        <v>8.6999999999999993</v>
      </c>
      <c r="K70" s="9">
        <v>0.2</v>
      </c>
      <c r="L70" s="9">
        <v>0.3</v>
      </c>
      <c r="M70" s="9">
        <v>114.2</v>
      </c>
      <c r="N70" s="9">
        <v>215.4</v>
      </c>
      <c r="O70" s="9">
        <v>101.2</v>
      </c>
      <c r="P70" s="9">
        <v>0</v>
      </c>
      <c r="Q70" s="9">
        <v>8.8000000000000007</v>
      </c>
      <c r="R70" s="9">
        <v>8.8000000000000007</v>
      </c>
      <c r="S70" s="9">
        <v>0</v>
      </c>
      <c r="T70" s="9">
        <v>0</v>
      </c>
    </row>
    <row r="71" spans="1:20">
      <c r="C71" s="8">
        <v>4</v>
      </c>
      <c r="D71" s="8" t="s">
        <v>43</v>
      </c>
      <c r="E71" s="9">
        <v>17.399999999999999</v>
      </c>
      <c r="F71" s="9">
        <v>18.100000000000001</v>
      </c>
      <c r="G71" s="9">
        <v>0</v>
      </c>
      <c r="H71" s="9">
        <v>30.7</v>
      </c>
      <c r="I71" s="9">
        <v>17.399999999999999</v>
      </c>
      <c r="J71" s="9">
        <v>18.100000000000001</v>
      </c>
      <c r="K71" s="9">
        <v>0</v>
      </c>
      <c r="L71" s="9">
        <v>30.7</v>
      </c>
      <c r="M71" s="9">
        <v>208.8</v>
      </c>
      <c r="N71" s="9">
        <v>215.3</v>
      </c>
      <c r="O71" s="9">
        <v>217.2</v>
      </c>
      <c r="P71" s="9">
        <v>0</v>
      </c>
      <c r="Q71" s="9">
        <v>17.399999999999999</v>
      </c>
      <c r="R71" s="9">
        <v>18.100000000000001</v>
      </c>
      <c r="S71" s="9">
        <v>0</v>
      </c>
      <c r="T71" s="9">
        <v>30.7</v>
      </c>
    </row>
    <row r="72" spans="1:20">
      <c r="A72" s="8" t="s">
        <v>45</v>
      </c>
      <c r="B72" s="8" t="s">
        <v>47</v>
      </c>
      <c r="C72" s="8">
        <v>1</v>
      </c>
      <c r="D72" s="8" t="s">
        <v>39</v>
      </c>
      <c r="E72" s="9">
        <v>0</v>
      </c>
      <c r="F72" s="9">
        <v>0</v>
      </c>
      <c r="G72" s="9">
        <v>0</v>
      </c>
      <c r="H72" s="9">
        <v>0</v>
      </c>
      <c r="I72" s="9">
        <v>15.1</v>
      </c>
      <c r="J72" s="9">
        <v>0.2</v>
      </c>
      <c r="K72" s="9">
        <v>0.2</v>
      </c>
      <c r="L72" s="9">
        <v>15.2</v>
      </c>
      <c r="M72" s="9">
        <v>184.1</v>
      </c>
      <c r="N72" s="9">
        <v>178.5</v>
      </c>
      <c r="O72" s="9">
        <v>5.7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</row>
    <row r="73" spans="1:20">
      <c r="C73" s="8">
        <v>1</v>
      </c>
      <c r="D73" s="8" t="s">
        <v>40</v>
      </c>
      <c r="E73" s="9">
        <v>0</v>
      </c>
      <c r="F73" s="9">
        <v>0</v>
      </c>
      <c r="G73" s="9">
        <v>0</v>
      </c>
      <c r="H73" s="9">
        <v>0</v>
      </c>
      <c r="I73" s="9">
        <v>14.4</v>
      </c>
      <c r="J73" s="9">
        <v>0.2</v>
      </c>
      <c r="K73" s="9">
        <v>0.2</v>
      </c>
      <c r="L73" s="9">
        <v>14.4</v>
      </c>
      <c r="M73" s="9">
        <v>175</v>
      </c>
      <c r="N73" s="9">
        <v>169.4</v>
      </c>
      <c r="O73" s="9">
        <v>5.7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</row>
    <row r="74" spans="1:20">
      <c r="C74" s="8">
        <v>2</v>
      </c>
      <c r="D74" s="8" t="s">
        <v>39</v>
      </c>
      <c r="E74" s="9">
        <v>0</v>
      </c>
      <c r="F74" s="9">
        <v>0</v>
      </c>
      <c r="G74" s="9">
        <v>0</v>
      </c>
      <c r="H74" s="9">
        <v>0</v>
      </c>
      <c r="I74" s="9">
        <v>14.3</v>
      </c>
      <c r="J74" s="9">
        <v>0.2</v>
      </c>
      <c r="K74" s="9">
        <v>0.2</v>
      </c>
      <c r="L74" s="9">
        <v>14.3</v>
      </c>
      <c r="M74" s="9">
        <v>173.7</v>
      </c>
      <c r="N74" s="9">
        <v>168</v>
      </c>
      <c r="O74" s="9">
        <v>5.7</v>
      </c>
      <c r="P74" s="9">
        <v>0</v>
      </c>
      <c r="Q74" s="9">
        <v>0</v>
      </c>
      <c r="R74" s="9">
        <v>0</v>
      </c>
      <c r="S74" s="9">
        <v>0</v>
      </c>
      <c r="T74" s="9">
        <v>0</v>
      </c>
    </row>
    <row r="75" spans="1:20">
      <c r="C75" s="8">
        <v>2</v>
      </c>
      <c r="D75" s="8" t="s">
        <v>40</v>
      </c>
      <c r="E75" s="9">
        <v>0</v>
      </c>
      <c r="F75" s="9">
        <v>0</v>
      </c>
      <c r="G75" s="9">
        <v>0</v>
      </c>
      <c r="H75" s="9">
        <v>0</v>
      </c>
      <c r="I75" s="9">
        <v>13.6</v>
      </c>
      <c r="J75" s="9">
        <v>0.2</v>
      </c>
      <c r="K75" s="9">
        <v>0.2</v>
      </c>
      <c r="L75" s="9">
        <v>13.6</v>
      </c>
      <c r="M75" s="9">
        <v>165.6</v>
      </c>
      <c r="N75" s="9">
        <v>159.9</v>
      </c>
      <c r="O75" s="9">
        <v>5.7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</row>
    <row r="76" spans="1:20">
      <c r="C76" s="8">
        <v>3</v>
      </c>
      <c r="D76" s="8" t="s">
        <v>39</v>
      </c>
      <c r="E76" s="9">
        <v>0</v>
      </c>
      <c r="F76" s="9">
        <v>0</v>
      </c>
      <c r="G76" s="9">
        <v>0</v>
      </c>
      <c r="H76" s="9">
        <v>0</v>
      </c>
      <c r="I76" s="9">
        <v>15.4</v>
      </c>
      <c r="J76" s="9">
        <v>0.2</v>
      </c>
      <c r="K76" s="9">
        <v>0.2</v>
      </c>
      <c r="L76" s="9">
        <v>15.4</v>
      </c>
      <c r="M76" s="9">
        <v>187.6</v>
      </c>
      <c r="N76" s="9">
        <v>182</v>
      </c>
      <c r="O76" s="9">
        <v>5.7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</row>
    <row r="77" spans="1:20">
      <c r="C77" s="8">
        <v>3</v>
      </c>
      <c r="D77" s="8" t="s">
        <v>40</v>
      </c>
      <c r="E77" s="9">
        <v>0</v>
      </c>
      <c r="F77" s="9">
        <v>0</v>
      </c>
      <c r="G77" s="9">
        <v>0</v>
      </c>
      <c r="H77" s="9">
        <v>0</v>
      </c>
      <c r="I77" s="9">
        <v>14.6</v>
      </c>
      <c r="J77" s="9">
        <v>0.2</v>
      </c>
      <c r="K77" s="9">
        <v>0.2</v>
      </c>
      <c r="L77" s="9">
        <v>14.7</v>
      </c>
      <c r="M77" s="9">
        <v>178.2</v>
      </c>
      <c r="N77" s="9">
        <v>172.5</v>
      </c>
      <c r="O77" s="9">
        <v>5.7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</row>
    <row r="78" spans="1:20">
      <c r="C78" s="8">
        <v>3</v>
      </c>
      <c r="D78" s="8" t="s">
        <v>41</v>
      </c>
      <c r="E78" s="9">
        <v>0</v>
      </c>
      <c r="F78" s="9">
        <v>0</v>
      </c>
      <c r="G78" s="9">
        <v>0</v>
      </c>
      <c r="H78" s="9">
        <v>0</v>
      </c>
      <c r="I78" s="9">
        <v>10.3</v>
      </c>
      <c r="J78" s="9">
        <v>10.4</v>
      </c>
      <c r="K78" s="9">
        <v>10.4</v>
      </c>
      <c r="L78" s="9">
        <v>0.1</v>
      </c>
      <c r="M78" s="9">
        <v>215.6</v>
      </c>
      <c r="N78" s="9">
        <v>215.6</v>
      </c>
      <c r="O78" s="9">
        <v>215.7</v>
      </c>
      <c r="P78" s="9">
        <v>0</v>
      </c>
      <c r="Q78" s="9">
        <v>0</v>
      </c>
      <c r="R78" s="9">
        <v>0</v>
      </c>
      <c r="S78" s="9">
        <v>0</v>
      </c>
      <c r="T78" s="9">
        <v>0</v>
      </c>
    </row>
    <row r="79" spans="1:20">
      <c r="C79" s="8">
        <v>3</v>
      </c>
      <c r="D79" s="8" t="s">
        <v>42</v>
      </c>
      <c r="E79" s="9">
        <v>0</v>
      </c>
      <c r="F79" s="9">
        <v>0</v>
      </c>
      <c r="G79" s="9">
        <v>0</v>
      </c>
      <c r="H79" s="9">
        <v>0</v>
      </c>
      <c r="I79" s="9">
        <v>9.3000000000000007</v>
      </c>
      <c r="J79" s="9">
        <v>8.6999999999999993</v>
      </c>
      <c r="K79" s="9">
        <v>0.2</v>
      </c>
      <c r="L79" s="9">
        <v>0.3</v>
      </c>
      <c r="M79" s="9">
        <v>114.3</v>
      </c>
      <c r="N79" s="9">
        <v>215.6</v>
      </c>
      <c r="O79" s="9">
        <v>101.3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</row>
    <row r="80" spans="1:20">
      <c r="C80" s="8">
        <v>3</v>
      </c>
      <c r="D80" s="8" t="s">
        <v>43</v>
      </c>
      <c r="E80" s="9">
        <v>0</v>
      </c>
      <c r="F80" s="9">
        <v>0</v>
      </c>
      <c r="G80" s="9">
        <v>0</v>
      </c>
      <c r="H80" s="9">
        <v>0</v>
      </c>
      <c r="I80" s="9">
        <v>17.2</v>
      </c>
      <c r="J80" s="9">
        <v>17.7</v>
      </c>
      <c r="K80" s="9">
        <v>0</v>
      </c>
      <c r="L80" s="9">
        <v>29.9</v>
      </c>
      <c r="M80" s="9">
        <v>206.5</v>
      </c>
      <c r="N80" s="9">
        <v>215.6</v>
      </c>
      <c r="O80" s="9">
        <v>211.6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</row>
    <row r="81" spans="1:20">
      <c r="C81" s="8">
        <v>4</v>
      </c>
      <c r="D81" s="8" t="s">
        <v>39</v>
      </c>
      <c r="E81" s="9">
        <v>15.4</v>
      </c>
      <c r="F81" s="9">
        <v>0</v>
      </c>
      <c r="G81" s="9">
        <v>0</v>
      </c>
      <c r="H81" s="9">
        <v>15.4</v>
      </c>
      <c r="I81" s="9">
        <v>15.4</v>
      </c>
      <c r="J81" s="9">
        <v>0.2</v>
      </c>
      <c r="K81" s="9">
        <v>0.2</v>
      </c>
      <c r="L81" s="9">
        <v>15.4</v>
      </c>
      <c r="M81" s="9">
        <v>187.1</v>
      </c>
      <c r="N81" s="9">
        <v>181.4</v>
      </c>
      <c r="O81" s="9">
        <v>5.7</v>
      </c>
      <c r="P81" s="9">
        <v>0</v>
      </c>
      <c r="Q81" s="9">
        <v>15.4</v>
      </c>
      <c r="R81" s="9">
        <v>0</v>
      </c>
      <c r="S81" s="9">
        <v>0</v>
      </c>
      <c r="T81" s="9">
        <v>15.4</v>
      </c>
    </row>
    <row r="82" spans="1:20">
      <c r="C82" s="8">
        <v>4</v>
      </c>
      <c r="D82" s="8" t="s">
        <v>40</v>
      </c>
      <c r="E82" s="9">
        <v>14.6</v>
      </c>
      <c r="F82" s="9">
        <v>0</v>
      </c>
      <c r="G82" s="9">
        <v>0</v>
      </c>
      <c r="H82" s="9">
        <v>14.6</v>
      </c>
      <c r="I82" s="9">
        <v>14.6</v>
      </c>
      <c r="J82" s="9">
        <v>0.2</v>
      </c>
      <c r="K82" s="9">
        <v>0.2</v>
      </c>
      <c r="L82" s="9">
        <v>14.6</v>
      </c>
      <c r="M82" s="9">
        <v>177.7</v>
      </c>
      <c r="N82" s="9">
        <v>172.1</v>
      </c>
      <c r="O82" s="9">
        <v>5.7</v>
      </c>
      <c r="P82" s="9">
        <v>0</v>
      </c>
      <c r="Q82" s="9">
        <v>14.6</v>
      </c>
      <c r="R82" s="9">
        <v>0</v>
      </c>
      <c r="S82" s="9">
        <v>0</v>
      </c>
      <c r="T82" s="9">
        <v>14.6</v>
      </c>
    </row>
    <row r="83" spans="1:20">
      <c r="C83" s="8">
        <v>4</v>
      </c>
      <c r="D83" s="8" t="s">
        <v>41</v>
      </c>
      <c r="E83" s="9">
        <v>10.3</v>
      </c>
      <c r="F83" s="9">
        <v>10.4</v>
      </c>
      <c r="G83" s="9">
        <v>10.4</v>
      </c>
      <c r="H83" s="9">
        <v>0.2</v>
      </c>
      <c r="I83" s="9">
        <v>10.3</v>
      </c>
      <c r="J83" s="9">
        <v>10.4</v>
      </c>
      <c r="K83" s="9">
        <v>10.4</v>
      </c>
      <c r="L83" s="9">
        <v>0.2</v>
      </c>
      <c r="M83" s="9">
        <v>215.3</v>
      </c>
      <c r="N83" s="9">
        <v>215.3</v>
      </c>
      <c r="O83" s="9">
        <v>215.5</v>
      </c>
      <c r="P83" s="9">
        <v>0</v>
      </c>
      <c r="Q83" s="9">
        <v>10.3</v>
      </c>
      <c r="R83" s="9">
        <v>10.4</v>
      </c>
      <c r="S83" s="9">
        <v>10.4</v>
      </c>
      <c r="T83" s="9">
        <v>0.2</v>
      </c>
    </row>
    <row r="84" spans="1:20">
      <c r="C84" s="8">
        <v>4</v>
      </c>
      <c r="D84" s="8" t="s">
        <v>42</v>
      </c>
      <c r="E84" s="9">
        <v>8.8000000000000007</v>
      </c>
      <c r="F84" s="9">
        <v>8.8000000000000007</v>
      </c>
      <c r="G84" s="9">
        <v>0</v>
      </c>
      <c r="H84" s="9">
        <v>0</v>
      </c>
      <c r="I84" s="9">
        <v>9.3000000000000007</v>
      </c>
      <c r="J84" s="9">
        <v>8.6999999999999993</v>
      </c>
      <c r="K84" s="9">
        <v>0.2</v>
      </c>
      <c r="L84" s="9">
        <v>0.3</v>
      </c>
      <c r="M84" s="9">
        <v>114.2</v>
      </c>
      <c r="N84" s="9">
        <v>215.4</v>
      </c>
      <c r="O84" s="9">
        <v>101.2</v>
      </c>
      <c r="P84" s="9">
        <v>0</v>
      </c>
      <c r="Q84" s="9">
        <v>8.8000000000000007</v>
      </c>
      <c r="R84" s="9">
        <v>8.8000000000000007</v>
      </c>
      <c r="S84" s="9">
        <v>0</v>
      </c>
      <c r="T84" s="9">
        <v>0</v>
      </c>
    </row>
    <row r="85" spans="1:20">
      <c r="C85" s="8">
        <v>4</v>
      </c>
      <c r="D85" s="8" t="s">
        <v>43</v>
      </c>
      <c r="E85" s="9">
        <v>17</v>
      </c>
      <c r="F85" s="9">
        <v>17.7</v>
      </c>
      <c r="G85" s="9">
        <v>0</v>
      </c>
      <c r="H85" s="9">
        <v>29.7</v>
      </c>
      <c r="I85" s="9">
        <v>17</v>
      </c>
      <c r="J85" s="9">
        <v>17.7</v>
      </c>
      <c r="K85" s="9">
        <v>0</v>
      </c>
      <c r="L85" s="9">
        <v>29.7</v>
      </c>
      <c r="M85" s="9">
        <v>203.8</v>
      </c>
      <c r="N85" s="9">
        <v>215.3</v>
      </c>
      <c r="O85" s="9">
        <v>211.8</v>
      </c>
      <c r="P85" s="9">
        <v>0</v>
      </c>
      <c r="Q85" s="9">
        <v>17</v>
      </c>
      <c r="R85" s="9">
        <v>17.7</v>
      </c>
      <c r="S85" s="9">
        <v>0</v>
      </c>
      <c r="T85" s="9">
        <v>29.7</v>
      </c>
    </row>
    <row r="86" spans="1:20">
      <c r="A86" s="8" t="s">
        <v>45</v>
      </c>
      <c r="B86" s="8" t="s">
        <v>44</v>
      </c>
      <c r="C86" s="8">
        <v>1</v>
      </c>
      <c r="D86" s="8" t="s">
        <v>39</v>
      </c>
      <c r="E86" s="9">
        <v>0</v>
      </c>
      <c r="F86" s="9">
        <v>0</v>
      </c>
      <c r="G86" s="9">
        <v>0</v>
      </c>
      <c r="H86" s="9">
        <v>0</v>
      </c>
      <c r="I86" s="9">
        <v>0.5</v>
      </c>
      <c r="J86" s="9">
        <v>0.3</v>
      </c>
      <c r="K86" s="9">
        <v>0.3</v>
      </c>
      <c r="L86" s="9">
        <v>0</v>
      </c>
      <c r="M86" s="9">
        <v>9</v>
      </c>
      <c r="N86" s="9">
        <v>9.5</v>
      </c>
      <c r="O86" s="9">
        <v>5.6</v>
      </c>
      <c r="P86" s="9">
        <v>0</v>
      </c>
      <c r="Q86" s="9">
        <v>0</v>
      </c>
      <c r="R86" s="9">
        <v>0</v>
      </c>
      <c r="S86" s="9">
        <v>0</v>
      </c>
      <c r="T86" s="9">
        <v>0</v>
      </c>
    </row>
    <row r="87" spans="1:20">
      <c r="C87" s="8">
        <v>1</v>
      </c>
      <c r="D87" s="8" t="s">
        <v>40</v>
      </c>
      <c r="E87" s="9">
        <v>0</v>
      </c>
      <c r="F87" s="9">
        <v>0</v>
      </c>
      <c r="G87" s="9">
        <v>0</v>
      </c>
      <c r="H87" s="9">
        <v>0</v>
      </c>
      <c r="I87" s="9">
        <v>0.5</v>
      </c>
      <c r="J87" s="9">
        <v>0.3</v>
      </c>
      <c r="K87" s="9">
        <v>0.3</v>
      </c>
      <c r="L87" s="9">
        <v>0</v>
      </c>
      <c r="M87" s="9">
        <v>9</v>
      </c>
      <c r="N87" s="9">
        <v>9.5</v>
      </c>
      <c r="O87" s="9">
        <v>5.6</v>
      </c>
      <c r="P87" s="9">
        <v>0</v>
      </c>
      <c r="Q87" s="9">
        <v>0</v>
      </c>
      <c r="R87" s="9">
        <v>0</v>
      </c>
      <c r="S87" s="9">
        <v>0</v>
      </c>
      <c r="T87" s="9">
        <v>0</v>
      </c>
    </row>
    <row r="88" spans="1:20">
      <c r="C88" s="8">
        <v>2</v>
      </c>
      <c r="D88" s="8" t="s">
        <v>39</v>
      </c>
      <c r="E88" s="9">
        <v>0</v>
      </c>
      <c r="F88" s="9">
        <v>0</v>
      </c>
      <c r="G88" s="9">
        <v>0</v>
      </c>
      <c r="H88" s="9">
        <v>0</v>
      </c>
      <c r="I88" s="9">
        <v>0.5</v>
      </c>
      <c r="J88" s="9">
        <v>0.3</v>
      </c>
      <c r="K88" s="9">
        <v>0.3</v>
      </c>
      <c r="L88" s="9">
        <v>0</v>
      </c>
      <c r="M88" s="9">
        <v>9</v>
      </c>
      <c r="N88" s="9">
        <v>9.5</v>
      </c>
      <c r="O88" s="9">
        <v>5.6</v>
      </c>
      <c r="P88" s="9">
        <v>0</v>
      </c>
      <c r="Q88" s="9">
        <v>0</v>
      </c>
      <c r="R88" s="9">
        <v>0</v>
      </c>
      <c r="S88" s="9">
        <v>0</v>
      </c>
      <c r="T88" s="9">
        <v>0</v>
      </c>
    </row>
    <row r="89" spans="1:20">
      <c r="C89" s="8">
        <v>2</v>
      </c>
      <c r="D89" s="8" t="s">
        <v>40</v>
      </c>
      <c r="E89" s="9">
        <v>0</v>
      </c>
      <c r="F89" s="9">
        <v>0</v>
      </c>
      <c r="G89" s="9">
        <v>0</v>
      </c>
      <c r="H89" s="9">
        <v>0</v>
      </c>
      <c r="I89" s="9">
        <v>0.5</v>
      </c>
      <c r="J89" s="9">
        <v>0.3</v>
      </c>
      <c r="K89" s="9">
        <v>0.3</v>
      </c>
      <c r="L89" s="9">
        <v>0</v>
      </c>
      <c r="M89" s="9">
        <v>9</v>
      </c>
      <c r="N89" s="9">
        <v>9.5</v>
      </c>
      <c r="O89" s="9">
        <v>5.6</v>
      </c>
      <c r="P89" s="9">
        <v>0</v>
      </c>
      <c r="Q89" s="9">
        <v>0</v>
      </c>
      <c r="R89" s="9">
        <v>0</v>
      </c>
      <c r="S89" s="9">
        <v>0</v>
      </c>
      <c r="T89" s="9">
        <v>0</v>
      </c>
    </row>
    <row r="90" spans="1:20">
      <c r="C90" s="8">
        <v>3</v>
      </c>
      <c r="D90" s="8" t="s">
        <v>39</v>
      </c>
      <c r="E90" s="9">
        <v>0</v>
      </c>
      <c r="F90" s="9">
        <v>0</v>
      </c>
      <c r="G90" s="9">
        <v>0</v>
      </c>
      <c r="H90" s="9">
        <v>0</v>
      </c>
      <c r="I90" s="9">
        <v>0.5</v>
      </c>
      <c r="J90" s="9">
        <v>0.3</v>
      </c>
      <c r="K90" s="9">
        <v>0.3</v>
      </c>
      <c r="L90" s="9">
        <v>0</v>
      </c>
      <c r="M90" s="9">
        <v>9</v>
      </c>
      <c r="N90" s="9">
        <v>9.5</v>
      </c>
      <c r="O90" s="9">
        <v>5.6</v>
      </c>
      <c r="P90" s="9">
        <v>0</v>
      </c>
      <c r="Q90" s="9">
        <v>0</v>
      </c>
      <c r="R90" s="9">
        <v>0</v>
      </c>
      <c r="S90" s="9">
        <v>0</v>
      </c>
      <c r="T90" s="9">
        <v>0</v>
      </c>
    </row>
    <row r="91" spans="1:20">
      <c r="C91" s="8">
        <v>3</v>
      </c>
      <c r="D91" s="8" t="s">
        <v>40</v>
      </c>
      <c r="E91" s="9">
        <v>0</v>
      </c>
      <c r="F91" s="9">
        <v>0</v>
      </c>
      <c r="G91" s="9">
        <v>0</v>
      </c>
      <c r="H91" s="9">
        <v>0</v>
      </c>
      <c r="I91" s="9">
        <v>0.5</v>
      </c>
      <c r="J91" s="9">
        <v>0.3</v>
      </c>
      <c r="K91" s="9">
        <v>0.3</v>
      </c>
      <c r="L91" s="9">
        <v>0</v>
      </c>
      <c r="M91" s="9">
        <v>9</v>
      </c>
      <c r="N91" s="9">
        <v>9.5</v>
      </c>
      <c r="O91" s="9">
        <v>5.6</v>
      </c>
      <c r="P91" s="9">
        <v>0</v>
      </c>
      <c r="Q91" s="9">
        <v>0</v>
      </c>
      <c r="R91" s="9">
        <v>0</v>
      </c>
      <c r="S91" s="9">
        <v>0</v>
      </c>
      <c r="T91" s="9">
        <v>0</v>
      </c>
    </row>
    <row r="92" spans="1:20">
      <c r="C92" s="8">
        <v>3</v>
      </c>
      <c r="D92" s="8" t="s">
        <v>41</v>
      </c>
      <c r="E92" s="9">
        <v>0</v>
      </c>
      <c r="F92" s="9">
        <v>0</v>
      </c>
      <c r="G92" s="9">
        <v>0</v>
      </c>
      <c r="H92" s="9">
        <v>0</v>
      </c>
      <c r="I92" s="9">
        <v>10.4</v>
      </c>
      <c r="J92" s="9">
        <v>10.4</v>
      </c>
      <c r="K92" s="9">
        <v>10.4</v>
      </c>
      <c r="L92" s="9">
        <v>0</v>
      </c>
      <c r="M92" s="9">
        <v>215.6</v>
      </c>
      <c r="N92" s="9">
        <v>215.6</v>
      </c>
      <c r="O92" s="9">
        <v>215.7</v>
      </c>
      <c r="P92" s="9">
        <v>0</v>
      </c>
      <c r="Q92" s="9">
        <v>0</v>
      </c>
      <c r="R92" s="9">
        <v>0</v>
      </c>
      <c r="S92" s="9">
        <v>0</v>
      </c>
      <c r="T92" s="9">
        <v>0</v>
      </c>
    </row>
    <row r="93" spans="1:20">
      <c r="C93" s="8">
        <v>3</v>
      </c>
      <c r="D93" s="8" t="s">
        <v>42</v>
      </c>
      <c r="E93" s="9">
        <v>0</v>
      </c>
      <c r="F93" s="9">
        <v>0</v>
      </c>
      <c r="G93" s="9">
        <v>0</v>
      </c>
      <c r="H93" s="9">
        <v>0</v>
      </c>
      <c r="I93" s="9">
        <v>9.1</v>
      </c>
      <c r="J93" s="9">
        <v>8.8000000000000007</v>
      </c>
      <c r="K93" s="9">
        <v>0.3</v>
      </c>
      <c r="L93" s="9">
        <v>0</v>
      </c>
      <c r="M93" s="9">
        <v>113</v>
      </c>
      <c r="N93" s="9">
        <v>215.6</v>
      </c>
      <c r="O93" s="9">
        <v>102.6</v>
      </c>
      <c r="P93" s="9">
        <v>0</v>
      </c>
      <c r="Q93" s="9">
        <v>0</v>
      </c>
      <c r="R93" s="9">
        <v>0</v>
      </c>
      <c r="S93" s="9">
        <v>0</v>
      </c>
      <c r="T93" s="9">
        <v>0</v>
      </c>
    </row>
    <row r="94" spans="1:20">
      <c r="C94" s="8">
        <v>3</v>
      </c>
      <c r="D94" s="8" t="s">
        <v>43</v>
      </c>
      <c r="E94" s="9">
        <v>0</v>
      </c>
      <c r="F94" s="9">
        <v>0</v>
      </c>
      <c r="G94" s="9">
        <v>0</v>
      </c>
      <c r="H94" s="9">
        <v>0</v>
      </c>
      <c r="I94" s="9">
        <v>9.1</v>
      </c>
      <c r="J94" s="9">
        <v>8.8000000000000007</v>
      </c>
      <c r="K94" s="9">
        <v>0.3</v>
      </c>
      <c r="L94" s="9">
        <v>0</v>
      </c>
      <c r="M94" s="9">
        <v>113.4</v>
      </c>
      <c r="N94" s="9">
        <v>215.6</v>
      </c>
      <c r="O94" s="9">
        <v>102.3</v>
      </c>
      <c r="P94" s="9">
        <v>0</v>
      </c>
      <c r="Q94" s="9">
        <v>0</v>
      </c>
      <c r="R94" s="9">
        <v>0</v>
      </c>
      <c r="S94" s="9">
        <v>0</v>
      </c>
      <c r="T94" s="9">
        <v>0</v>
      </c>
    </row>
    <row r="95" spans="1:20">
      <c r="C95" s="8">
        <v>4</v>
      </c>
      <c r="D95" s="8" t="s">
        <v>39</v>
      </c>
      <c r="E95" s="9">
        <v>0.3</v>
      </c>
      <c r="F95" s="9">
        <v>0</v>
      </c>
      <c r="G95" s="9">
        <v>0</v>
      </c>
      <c r="H95" s="9">
        <v>0.3</v>
      </c>
      <c r="I95" s="9">
        <v>0.5</v>
      </c>
      <c r="J95" s="9">
        <v>0.3</v>
      </c>
      <c r="K95" s="9">
        <v>0.3</v>
      </c>
      <c r="L95" s="9">
        <v>0</v>
      </c>
      <c r="M95" s="9">
        <v>9</v>
      </c>
      <c r="N95" s="9">
        <v>9.5</v>
      </c>
      <c r="O95" s="9">
        <v>5.6</v>
      </c>
      <c r="P95" s="9">
        <v>0</v>
      </c>
      <c r="Q95" s="9">
        <v>0.3</v>
      </c>
      <c r="R95" s="9">
        <v>0</v>
      </c>
      <c r="S95" s="9">
        <v>0</v>
      </c>
      <c r="T95" s="9">
        <v>0.3</v>
      </c>
    </row>
    <row r="96" spans="1:20">
      <c r="C96" s="8">
        <v>4</v>
      </c>
      <c r="D96" s="8" t="s">
        <v>40</v>
      </c>
      <c r="E96" s="9">
        <v>0.3</v>
      </c>
      <c r="F96" s="9">
        <v>0</v>
      </c>
      <c r="G96" s="9">
        <v>0</v>
      </c>
      <c r="H96" s="9">
        <v>0.3</v>
      </c>
      <c r="I96" s="9">
        <v>0.5</v>
      </c>
      <c r="J96" s="9">
        <v>0.3</v>
      </c>
      <c r="K96" s="9">
        <v>0.3</v>
      </c>
      <c r="L96" s="9">
        <v>0</v>
      </c>
      <c r="M96" s="9">
        <v>9</v>
      </c>
      <c r="N96" s="9">
        <v>9.5</v>
      </c>
      <c r="O96" s="9">
        <v>5.6</v>
      </c>
      <c r="P96" s="9">
        <v>0</v>
      </c>
      <c r="Q96" s="9">
        <v>0.3</v>
      </c>
      <c r="R96" s="9">
        <v>0</v>
      </c>
      <c r="S96" s="9">
        <v>0</v>
      </c>
      <c r="T96" s="9">
        <v>0.3</v>
      </c>
    </row>
    <row r="97" spans="3:20">
      <c r="C97" s="8">
        <v>4</v>
      </c>
      <c r="D97" s="8" t="s">
        <v>41</v>
      </c>
      <c r="E97" s="9">
        <v>10.4</v>
      </c>
      <c r="F97" s="9">
        <v>10.4</v>
      </c>
      <c r="G97" s="9">
        <v>10.4</v>
      </c>
      <c r="H97" s="9">
        <v>0</v>
      </c>
      <c r="I97" s="9">
        <v>10.4</v>
      </c>
      <c r="J97" s="9">
        <v>10.4</v>
      </c>
      <c r="K97" s="9">
        <v>10.4</v>
      </c>
      <c r="L97" s="9">
        <v>0</v>
      </c>
      <c r="M97" s="9">
        <v>215.3</v>
      </c>
      <c r="N97" s="9">
        <v>215.3</v>
      </c>
      <c r="O97" s="9">
        <v>215.5</v>
      </c>
      <c r="P97" s="9">
        <v>0</v>
      </c>
      <c r="Q97" s="9">
        <v>10.4</v>
      </c>
      <c r="R97" s="9">
        <v>10.4</v>
      </c>
      <c r="S97" s="9">
        <v>10.4</v>
      </c>
      <c r="T97" s="9">
        <v>0</v>
      </c>
    </row>
    <row r="98" spans="3:20">
      <c r="C98" s="8">
        <v>4</v>
      </c>
      <c r="D98" s="8" t="s">
        <v>42</v>
      </c>
      <c r="E98" s="9">
        <v>8.9</v>
      </c>
      <c r="F98" s="9">
        <v>8.9</v>
      </c>
      <c r="G98" s="9">
        <v>0</v>
      </c>
      <c r="H98" s="9">
        <v>0</v>
      </c>
      <c r="I98" s="9">
        <v>9.1</v>
      </c>
      <c r="J98" s="9">
        <v>8.8000000000000007</v>
      </c>
      <c r="K98" s="9">
        <v>0.3</v>
      </c>
      <c r="L98" s="9">
        <v>0</v>
      </c>
      <c r="M98" s="9">
        <v>112.9</v>
      </c>
      <c r="N98" s="9">
        <v>215.4</v>
      </c>
      <c r="O98" s="9">
        <v>102.5</v>
      </c>
      <c r="P98" s="9">
        <v>0</v>
      </c>
      <c r="Q98" s="9">
        <v>8.9</v>
      </c>
      <c r="R98" s="9">
        <v>8.9</v>
      </c>
      <c r="S98" s="9">
        <v>0</v>
      </c>
      <c r="T98" s="9">
        <v>0</v>
      </c>
    </row>
    <row r="99" spans="3:20">
      <c r="C99" s="8">
        <v>4</v>
      </c>
      <c r="D99" s="8" t="s">
        <v>43</v>
      </c>
      <c r="E99" s="9">
        <v>9.1</v>
      </c>
      <c r="F99" s="9">
        <v>8.9</v>
      </c>
      <c r="G99" s="9">
        <v>0</v>
      </c>
      <c r="H99" s="9">
        <v>0.2</v>
      </c>
      <c r="I99" s="9">
        <v>9.1</v>
      </c>
      <c r="J99" s="9">
        <v>8.8000000000000007</v>
      </c>
      <c r="K99" s="9">
        <v>0.3</v>
      </c>
      <c r="L99" s="9">
        <v>0</v>
      </c>
      <c r="M99" s="9">
        <v>113.2</v>
      </c>
      <c r="N99" s="9">
        <v>215.4</v>
      </c>
      <c r="O99" s="9">
        <v>102.1</v>
      </c>
      <c r="P99" s="9">
        <v>0</v>
      </c>
      <c r="Q99" s="9">
        <v>9.1</v>
      </c>
      <c r="R99" s="9">
        <v>8.9</v>
      </c>
      <c r="S99" s="9">
        <v>0</v>
      </c>
      <c r="T99" s="9">
        <v>0.2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R99"/>
  <sheetViews>
    <sheetView workbookViewId="0">
      <pane ySplit="1" topLeftCell="A37" activePane="bottomLeft" state="frozen"/>
      <selection pane="bottomLeft" activeCell="A2" sqref="A2:R99"/>
    </sheetView>
  </sheetViews>
  <sheetFormatPr defaultRowHeight="13.2"/>
  <cols>
    <col min="1" max="1" width="7.109375" style="8" customWidth="1"/>
    <col min="2" max="2" width="6.88671875" style="8" customWidth="1"/>
    <col min="3" max="3" width="5.44140625" style="8" customWidth="1"/>
    <col min="4" max="4" width="5.88671875" style="8" customWidth="1"/>
    <col min="5" max="5" width="6.21875" style="9" customWidth="1"/>
    <col min="6" max="6" width="5.21875" style="9" customWidth="1"/>
    <col min="7" max="8" width="5.21875" style="2" customWidth="1"/>
    <col min="9" max="10" width="5.44140625" style="2" customWidth="1"/>
    <col min="11" max="11" width="5.21875" style="2" customWidth="1"/>
    <col min="12" max="12" width="4.77734375" style="9" customWidth="1"/>
    <col min="13" max="13" width="5.21875" style="2" customWidth="1"/>
    <col min="14" max="14" width="5.77734375" style="2" customWidth="1"/>
    <col min="15" max="15" width="5.5546875" style="2" customWidth="1"/>
    <col min="16" max="16" width="5.44140625" style="2" customWidth="1"/>
    <col min="17" max="17" width="5.109375" style="2" customWidth="1"/>
    <col min="18" max="18" width="5.6640625" style="9" customWidth="1"/>
  </cols>
  <sheetData>
    <row r="1" spans="1:18">
      <c r="A1" s="7" t="s">
        <v>6</v>
      </c>
      <c r="B1" s="7" t="s">
        <v>7</v>
      </c>
      <c r="C1" s="7" t="s">
        <v>8</v>
      </c>
      <c r="D1" s="7" t="s">
        <v>3</v>
      </c>
      <c r="E1" s="6" t="s">
        <v>25</v>
      </c>
      <c r="F1" s="6" t="s">
        <v>26</v>
      </c>
      <c r="G1" s="10" t="s">
        <v>27</v>
      </c>
      <c r="H1" s="10" t="s">
        <v>28</v>
      </c>
      <c r="I1" s="10" t="s">
        <v>29</v>
      </c>
      <c r="J1" s="10" t="s">
        <v>30</v>
      </c>
      <c r="K1" s="10" t="s">
        <v>31</v>
      </c>
      <c r="L1" s="6" t="s">
        <v>35</v>
      </c>
      <c r="M1" s="10" t="s">
        <v>32</v>
      </c>
      <c r="N1" s="10" t="s">
        <v>33</v>
      </c>
      <c r="O1" s="10" t="s">
        <v>34</v>
      </c>
      <c r="P1" s="10" t="s">
        <v>36</v>
      </c>
      <c r="Q1" s="10" t="s">
        <v>37</v>
      </c>
      <c r="R1" s="6" t="s">
        <v>38</v>
      </c>
    </row>
    <row r="2" spans="1:18">
      <c r="A2" s="8" t="s">
        <v>24</v>
      </c>
      <c r="B2" s="8" t="s">
        <v>45</v>
      </c>
      <c r="C2" s="8">
        <v>1</v>
      </c>
      <c r="D2" s="8" t="s">
        <v>39</v>
      </c>
      <c r="E2" s="9">
        <v>545.9</v>
      </c>
      <c r="F2" s="9">
        <v>0.4</v>
      </c>
      <c r="G2" s="2">
        <v>0.72</v>
      </c>
      <c r="H2" s="2">
        <v>0.97</v>
      </c>
      <c r="I2" s="2">
        <v>1.04</v>
      </c>
      <c r="J2" s="2">
        <v>7.0000000000000007E-2</v>
      </c>
      <c r="K2" s="2">
        <v>0.17</v>
      </c>
      <c r="L2" s="9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9">
        <v>0</v>
      </c>
    </row>
    <row r="3" spans="1:18">
      <c r="C3" s="8">
        <v>1</v>
      </c>
      <c r="D3" s="8" t="s">
        <v>40</v>
      </c>
      <c r="E3" s="9">
        <v>214.3</v>
      </c>
      <c r="F3" s="9">
        <v>0.6</v>
      </c>
      <c r="G3" s="2">
        <v>0.99</v>
      </c>
      <c r="H3" s="2">
        <v>1.01</v>
      </c>
      <c r="I3" s="2">
        <v>1.07</v>
      </c>
      <c r="J3" s="2">
        <v>0.03</v>
      </c>
      <c r="K3" s="2">
        <v>7.0000000000000007E-2</v>
      </c>
      <c r="L3" s="9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9">
        <v>0</v>
      </c>
    </row>
    <row r="4" spans="1:18">
      <c r="C4" s="8">
        <v>2</v>
      </c>
      <c r="D4" s="8" t="s">
        <v>39</v>
      </c>
      <c r="E4" s="9">
        <v>0.1</v>
      </c>
      <c r="F4" s="9">
        <v>132.9</v>
      </c>
      <c r="G4" s="2">
        <v>0.87</v>
      </c>
      <c r="H4" s="2">
        <v>1.07</v>
      </c>
      <c r="I4" s="2">
        <v>1.05</v>
      </c>
      <c r="J4" s="2">
        <v>0.08</v>
      </c>
      <c r="K4" s="2">
        <v>0.06</v>
      </c>
      <c r="L4" s="9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9">
        <v>0</v>
      </c>
    </row>
    <row r="5" spans="1:18">
      <c r="C5" s="8">
        <v>2</v>
      </c>
      <c r="D5" s="8" t="s">
        <v>40</v>
      </c>
      <c r="E5" s="9">
        <v>0.1</v>
      </c>
      <c r="F5" s="9">
        <v>98.2</v>
      </c>
      <c r="G5" s="2">
        <v>0.94</v>
      </c>
      <c r="H5" s="2">
        <v>1.07</v>
      </c>
      <c r="I5" s="2">
        <v>1.05</v>
      </c>
      <c r="J5" s="2">
        <v>0.06</v>
      </c>
      <c r="K5" s="2">
        <v>0.05</v>
      </c>
      <c r="L5" s="9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9">
        <v>0</v>
      </c>
    </row>
    <row r="6" spans="1:18">
      <c r="C6" s="8">
        <v>3</v>
      </c>
      <c r="D6" s="8" t="s">
        <v>39</v>
      </c>
      <c r="E6" s="9">
        <v>0</v>
      </c>
      <c r="F6" s="9">
        <v>0</v>
      </c>
      <c r="G6" s="2">
        <v>0</v>
      </c>
      <c r="H6" s="2">
        <v>1.04</v>
      </c>
      <c r="I6" s="2">
        <v>1.05</v>
      </c>
      <c r="J6" s="2">
        <v>0.34</v>
      </c>
      <c r="K6" s="2">
        <v>0.36</v>
      </c>
      <c r="L6" s="9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9">
        <v>0</v>
      </c>
    </row>
    <row r="7" spans="1:18">
      <c r="C7" s="8">
        <v>3</v>
      </c>
      <c r="D7" s="8" t="s">
        <v>40</v>
      </c>
      <c r="E7" s="9">
        <v>0.1</v>
      </c>
      <c r="F7" s="9">
        <v>0.5</v>
      </c>
      <c r="G7" s="2">
        <v>0.93</v>
      </c>
      <c r="H7" s="2">
        <v>1.05</v>
      </c>
      <c r="I7" s="2">
        <v>1.06</v>
      </c>
      <c r="J7" s="2">
        <v>0.1</v>
      </c>
      <c r="K7" s="2">
        <v>0.1</v>
      </c>
      <c r="L7" s="9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9">
        <v>0</v>
      </c>
    </row>
    <row r="8" spans="1:18">
      <c r="C8" s="8">
        <v>3</v>
      </c>
      <c r="D8" s="8" t="s">
        <v>41</v>
      </c>
      <c r="E8" s="9">
        <v>0</v>
      </c>
      <c r="F8" s="9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9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9">
        <v>0</v>
      </c>
    </row>
    <row r="9" spans="1:18">
      <c r="C9" s="8">
        <v>3</v>
      </c>
      <c r="D9" s="8" t="s">
        <v>42</v>
      </c>
      <c r="E9" s="9">
        <v>0.1</v>
      </c>
      <c r="F9" s="9">
        <v>0.3</v>
      </c>
      <c r="G9" s="2">
        <v>0.53</v>
      </c>
      <c r="H9" s="2">
        <v>0.53</v>
      </c>
      <c r="I9" s="2">
        <v>1.05</v>
      </c>
      <c r="J9" s="2">
        <v>0</v>
      </c>
      <c r="K9" s="2">
        <v>0.53</v>
      </c>
      <c r="L9" s="9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9">
        <v>0</v>
      </c>
    </row>
    <row r="10" spans="1:18">
      <c r="C10" s="8">
        <v>3</v>
      </c>
      <c r="D10" s="8" t="s">
        <v>43</v>
      </c>
      <c r="E10" s="9">
        <v>0</v>
      </c>
      <c r="F10" s="9">
        <v>0</v>
      </c>
      <c r="G10" s="2">
        <v>0</v>
      </c>
      <c r="H10" s="2">
        <v>0</v>
      </c>
      <c r="I10" s="2">
        <v>1.02</v>
      </c>
      <c r="J10" s="2">
        <v>0.34</v>
      </c>
      <c r="K10" s="2">
        <v>0.34</v>
      </c>
      <c r="L10" s="9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9">
        <v>0</v>
      </c>
    </row>
    <row r="11" spans="1:18">
      <c r="C11" s="8">
        <v>4</v>
      </c>
      <c r="D11" s="8" t="s">
        <v>39</v>
      </c>
      <c r="E11" s="9">
        <v>0</v>
      </c>
      <c r="F11" s="9">
        <v>0</v>
      </c>
      <c r="G11" s="2">
        <v>0</v>
      </c>
      <c r="H11" s="2">
        <v>0.96</v>
      </c>
      <c r="I11" s="2">
        <v>0.91</v>
      </c>
      <c r="J11" s="2">
        <v>0.15</v>
      </c>
      <c r="K11" s="2">
        <v>0.45</v>
      </c>
      <c r="L11" s="9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9">
        <v>0</v>
      </c>
    </row>
    <row r="12" spans="1:18">
      <c r="C12" s="8">
        <v>4</v>
      </c>
      <c r="D12" s="8" t="s">
        <v>40</v>
      </c>
      <c r="E12" s="9">
        <v>0.1</v>
      </c>
      <c r="F12" s="9">
        <v>0.6</v>
      </c>
      <c r="G12" s="2">
        <v>1</v>
      </c>
      <c r="H12" s="2">
        <v>0.99</v>
      </c>
      <c r="I12" s="2">
        <v>1.08</v>
      </c>
      <c r="J12" s="2">
        <v>0.03</v>
      </c>
      <c r="K12" s="2">
        <v>0.09</v>
      </c>
      <c r="L12" s="9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9">
        <v>0</v>
      </c>
    </row>
    <row r="13" spans="1:18">
      <c r="C13" s="8">
        <v>4</v>
      </c>
      <c r="D13" s="8" t="s">
        <v>41</v>
      </c>
      <c r="E13" s="9">
        <v>0</v>
      </c>
      <c r="F13" s="9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9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9">
        <v>0</v>
      </c>
    </row>
    <row r="14" spans="1:18">
      <c r="C14" s="8">
        <v>4</v>
      </c>
      <c r="D14" s="8" t="s">
        <v>42</v>
      </c>
      <c r="E14" s="9">
        <v>0.1</v>
      </c>
      <c r="F14" s="9">
        <v>0.3</v>
      </c>
      <c r="G14" s="2">
        <v>0.52</v>
      </c>
      <c r="H14" s="2">
        <v>0.52</v>
      </c>
      <c r="I14" s="2">
        <v>1.05</v>
      </c>
      <c r="J14" s="2">
        <v>0</v>
      </c>
      <c r="K14" s="2">
        <v>0.52</v>
      </c>
      <c r="L14" s="9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9">
        <v>0</v>
      </c>
    </row>
    <row r="15" spans="1:18">
      <c r="C15" s="8">
        <v>4</v>
      </c>
      <c r="D15" s="8" t="s">
        <v>43</v>
      </c>
      <c r="E15" s="9">
        <v>0</v>
      </c>
      <c r="F15" s="9">
        <v>0</v>
      </c>
      <c r="G15" s="2">
        <v>0</v>
      </c>
      <c r="H15" s="2">
        <v>0</v>
      </c>
      <c r="I15" s="2">
        <v>0.65</v>
      </c>
      <c r="J15" s="2">
        <v>0.21</v>
      </c>
      <c r="K15" s="2">
        <v>0.22</v>
      </c>
      <c r="L15" s="9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9">
        <v>0</v>
      </c>
    </row>
    <row r="16" spans="1:18">
      <c r="A16" s="8" t="s">
        <v>24</v>
      </c>
      <c r="B16" s="8" t="s">
        <v>46</v>
      </c>
      <c r="C16" s="8">
        <v>1</v>
      </c>
      <c r="D16" s="8" t="s">
        <v>39</v>
      </c>
      <c r="E16" s="9">
        <v>549.20000000000005</v>
      </c>
      <c r="F16" s="9">
        <v>0.4</v>
      </c>
      <c r="G16" s="2">
        <v>0.76</v>
      </c>
      <c r="H16" s="2">
        <v>0.93</v>
      </c>
      <c r="I16" s="2">
        <v>1.05</v>
      </c>
      <c r="J16" s="2">
        <v>0.02</v>
      </c>
      <c r="K16" s="2">
        <v>0.17</v>
      </c>
      <c r="L16" s="9">
        <v>1.7</v>
      </c>
      <c r="M16" s="2">
        <v>0.92</v>
      </c>
      <c r="N16" s="2">
        <v>0.76</v>
      </c>
      <c r="O16" s="2">
        <v>1.05</v>
      </c>
      <c r="P16" s="2">
        <v>0</v>
      </c>
      <c r="Q16" s="2">
        <v>0.17</v>
      </c>
      <c r="R16" s="9">
        <v>32.1</v>
      </c>
    </row>
    <row r="17" spans="1:18">
      <c r="C17" s="8">
        <v>1</v>
      </c>
      <c r="D17" s="8" t="s">
        <v>40</v>
      </c>
      <c r="E17" s="9">
        <v>214.2</v>
      </c>
      <c r="F17" s="9">
        <v>0.6</v>
      </c>
      <c r="G17" s="2">
        <v>0.99</v>
      </c>
      <c r="H17" s="2">
        <v>0.99</v>
      </c>
      <c r="I17" s="2">
        <v>1.08</v>
      </c>
      <c r="J17" s="2">
        <v>0.01</v>
      </c>
      <c r="K17" s="2">
        <v>0.06</v>
      </c>
      <c r="L17" s="9">
        <v>0.7</v>
      </c>
      <c r="M17" s="2">
        <v>1.05</v>
      </c>
      <c r="N17" s="2">
        <v>0.95</v>
      </c>
      <c r="O17" s="2">
        <v>1.05</v>
      </c>
      <c r="P17" s="2">
        <v>0</v>
      </c>
      <c r="Q17" s="2">
        <v>0.06</v>
      </c>
      <c r="R17" s="9">
        <v>6.9</v>
      </c>
    </row>
    <row r="18" spans="1:18">
      <c r="C18" s="8">
        <v>2</v>
      </c>
      <c r="D18" s="8" t="s">
        <v>39</v>
      </c>
      <c r="E18" s="9">
        <v>0.1</v>
      </c>
      <c r="F18" s="9">
        <v>140.1</v>
      </c>
      <c r="G18" s="2">
        <v>0.92</v>
      </c>
      <c r="H18" s="2">
        <v>1.02</v>
      </c>
      <c r="I18" s="2">
        <v>1.05</v>
      </c>
      <c r="J18" s="2">
        <v>0.02</v>
      </c>
      <c r="K18" s="2">
        <v>7.0000000000000007E-2</v>
      </c>
      <c r="L18" s="9">
        <v>0.7</v>
      </c>
      <c r="M18" s="2">
        <v>1</v>
      </c>
      <c r="N18" s="2">
        <v>0.94</v>
      </c>
      <c r="O18" s="2">
        <v>1.05</v>
      </c>
      <c r="P18" s="2">
        <v>0</v>
      </c>
      <c r="Q18" s="2">
        <v>7.0000000000000007E-2</v>
      </c>
      <c r="R18" s="9">
        <v>12.4</v>
      </c>
    </row>
    <row r="19" spans="1:18">
      <c r="C19" s="8">
        <v>2</v>
      </c>
      <c r="D19" s="8" t="s">
        <v>40</v>
      </c>
      <c r="E19" s="9">
        <v>0.1</v>
      </c>
      <c r="F19" s="9">
        <v>101.5</v>
      </c>
      <c r="G19" s="2">
        <v>0.97</v>
      </c>
      <c r="H19" s="2">
        <v>1.02</v>
      </c>
      <c r="I19" s="2">
        <v>1.06</v>
      </c>
      <c r="J19" s="2">
        <v>0.02</v>
      </c>
      <c r="K19" s="2">
        <v>0.05</v>
      </c>
      <c r="L19" s="9">
        <v>0.5</v>
      </c>
      <c r="M19" s="2">
        <v>1.03</v>
      </c>
      <c r="N19" s="2">
        <v>0.97</v>
      </c>
      <c r="O19" s="2">
        <v>1.05</v>
      </c>
      <c r="P19" s="2">
        <v>0</v>
      </c>
      <c r="Q19" s="2">
        <v>0.05</v>
      </c>
      <c r="R19" s="9">
        <v>7.7</v>
      </c>
    </row>
    <row r="20" spans="1:18">
      <c r="C20" s="8">
        <v>3</v>
      </c>
      <c r="D20" s="8" t="s">
        <v>39</v>
      </c>
      <c r="E20" s="9">
        <v>0</v>
      </c>
      <c r="F20" s="9">
        <v>0.1</v>
      </c>
      <c r="G20" s="2">
        <v>0.12</v>
      </c>
      <c r="H20" s="2">
        <v>0.96</v>
      </c>
      <c r="I20" s="2">
        <v>0.92</v>
      </c>
      <c r="J20" s="2">
        <v>0.11</v>
      </c>
      <c r="K20" s="2">
        <v>0.41</v>
      </c>
      <c r="L20" s="9">
        <v>4.3</v>
      </c>
      <c r="M20" s="2">
        <v>0.55000000000000004</v>
      </c>
      <c r="N20" s="2">
        <v>0.56999999999999995</v>
      </c>
      <c r="O20" s="2">
        <v>1.05</v>
      </c>
      <c r="P20" s="2">
        <v>0</v>
      </c>
      <c r="Q20" s="2">
        <v>0.41</v>
      </c>
      <c r="R20" s="9">
        <v>89.2</v>
      </c>
    </row>
    <row r="21" spans="1:18">
      <c r="C21" s="8">
        <v>3</v>
      </c>
      <c r="D21" s="8" t="s">
        <v>40</v>
      </c>
      <c r="E21" s="9">
        <v>0.1</v>
      </c>
      <c r="F21" s="9">
        <v>0.6</v>
      </c>
      <c r="G21" s="2">
        <v>0.96</v>
      </c>
      <c r="H21" s="2">
        <v>0.97</v>
      </c>
      <c r="I21" s="2">
        <v>1.0900000000000001</v>
      </c>
      <c r="J21" s="2">
        <v>0.03</v>
      </c>
      <c r="K21" s="2">
        <v>0.11</v>
      </c>
      <c r="L21" s="9">
        <v>1.1000000000000001</v>
      </c>
      <c r="M21" s="2">
        <v>1.07</v>
      </c>
      <c r="N21" s="2">
        <v>0.9</v>
      </c>
      <c r="O21" s="2">
        <v>1.05</v>
      </c>
      <c r="P21" s="2">
        <v>0</v>
      </c>
      <c r="Q21" s="2">
        <v>0.11</v>
      </c>
      <c r="R21" s="9">
        <v>11.5</v>
      </c>
    </row>
    <row r="22" spans="1:18">
      <c r="C22" s="8">
        <v>3</v>
      </c>
      <c r="D22" s="8" t="s">
        <v>41</v>
      </c>
      <c r="E22" s="9">
        <v>0</v>
      </c>
      <c r="F22" s="9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9">
        <v>0</v>
      </c>
      <c r="M22" s="2">
        <v>0.01</v>
      </c>
      <c r="N22" s="2">
        <v>0.01</v>
      </c>
      <c r="O22" s="2">
        <v>0.01</v>
      </c>
      <c r="P22" s="2">
        <v>0</v>
      </c>
      <c r="Q22" s="2">
        <v>0</v>
      </c>
      <c r="R22" s="9">
        <v>0.1</v>
      </c>
    </row>
    <row r="23" spans="1:18">
      <c r="C23" s="8">
        <v>3</v>
      </c>
      <c r="D23" s="8" t="s">
        <v>42</v>
      </c>
      <c r="E23" s="9">
        <v>0.1</v>
      </c>
      <c r="F23" s="9">
        <v>0.3</v>
      </c>
      <c r="G23" s="2">
        <v>0.52</v>
      </c>
      <c r="H23" s="2">
        <v>0.53</v>
      </c>
      <c r="I23" s="2">
        <v>1.05</v>
      </c>
      <c r="J23" s="2">
        <v>0</v>
      </c>
      <c r="K23" s="2">
        <v>0.52</v>
      </c>
      <c r="L23" s="9">
        <v>5.4</v>
      </c>
      <c r="M23" s="2">
        <v>0.9</v>
      </c>
      <c r="N23" s="2">
        <v>0.01</v>
      </c>
      <c r="O23" s="2">
        <v>0.91</v>
      </c>
      <c r="P23" s="2">
        <v>0</v>
      </c>
      <c r="Q23" s="2">
        <v>0.52</v>
      </c>
      <c r="R23" s="9">
        <v>58.5</v>
      </c>
    </row>
    <row r="24" spans="1:18">
      <c r="C24" s="8">
        <v>3</v>
      </c>
      <c r="D24" s="8" t="s">
        <v>43</v>
      </c>
      <c r="E24" s="9">
        <v>0</v>
      </c>
      <c r="F24" s="9">
        <v>0.1</v>
      </c>
      <c r="G24" s="2">
        <v>0.14000000000000001</v>
      </c>
      <c r="H24" s="2">
        <v>0.15</v>
      </c>
      <c r="I24" s="2">
        <v>0.67</v>
      </c>
      <c r="J24" s="2">
        <v>0.13</v>
      </c>
      <c r="K24" s="2">
        <v>0.27</v>
      </c>
      <c r="L24" s="9">
        <v>2.8</v>
      </c>
      <c r="M24" s="2">
        <v>0.47</v>
      </c>
      <c r="N24" s="2">
        <v>0.01</v>
      </c>
      <c r="O24" s="2">
        <v>0.47</v>
      </c>
      <c r="P24" s="2">
        <v>0</v>
      </c>
      <c r="Q24" s="2">
        <v>0.27</v>
      </c>
      <c r="R24" s="9">
        <v>30.7</v>
      </c>
    </row>
    <row r="25" spans="1:18">
      <c r="C25" s="8">
        <v>4</v>
      </c>
      <c r="D25" s="8" t="s">
        <v>39</v>
      </c>
      <c r="E25" s="9">
        <v>0</v>
      </c>
      <c r="F25" s="9">
        <v>0.1</v>
      </c>
      <c r="G25" s="2">
        <v>0.1</v>
      </c>
      <c r="H25" s="2">
        <v>0.93</v>
      </c>
      <c r="I25" s="2">
        <v>0.89</v>
      </c>
      <c r="J25" s="2">
        <v>0.04</v>
      </c>
      <c r="K25" s="2">
        <v>0.45</v>
      </c>
      <c r="L25" s="9">
        <v>4.7</v>
      </c>
      <c r="M25" s="2">
        <v>0.52</v>
      </c>
      <c r="N25" s="2">
        <v>0.56000000000000005</v>
      </c>
      <c r="O25" s="2">
        <v>1.05</v>
      </c>
      <c r="P25" s="2">
        <v>0</v>
      </c>
      <c r="Q25" s="2">
        <v>0.45</v>
      </c>
      <c r="R25" s="9">
        <v>97.2</v>
      </c>
    </row>
    <row r="26" spans="1:18">
      <c r="C26" s="8">
        <v>4</v>
      </c>
      <c r="D26" s="8" t="s">
        <v>40</v>
      </c>
      <c r="E26" s="9">
        <v>0.1</v>
      </c>
      <c r="F26" s="9">
        <v>0.6</v>
      </c>
      <c r="G26" s="2">
        <v>1</v>
      </c>
      <c r="H26" s="2">
        <v>0.97</v>
      </c>
      <c r="I26" s="2">
        <v>1.1000000000000001</v>
      </c>
      <c r="J26" s="2">
        <v>0.01</v>
      </c>
      <c r="K26" s="2">
        <v>0.09</v>
      </c>
      <c r="L26" s="9">
        <v>0.9</v>
      </c>
      <c r="M26" s="2">
        <v>1.08</v>
      </c>
      <c r="N26" s="2">
        <v>0.94</v>
      </c>
      <c r="O26" s="2">
        <v>1.05</v>
      </c>
      <c r="P26" s="2">
        <v>0</v>
      </c>
      <c r="Q26" s="2">
        <v>0.09</v>
      </c>
      <c r="R26" s="9">
        <v>6.9</v>
      </c>
    </row>
    <row r="27" spans="1:18">
      <c r="C27" s="8">
        <v>4</v>
      </c>
      <c r="D27" s="8" t="s">
        <v>41</v>
      </c>
      <c r="E27" s="9">
        <v>0</v>
      </c>
      <c r="F27" s="9">
        <v>0</v>
      </c>
      <c r="G27" s="2">
        <v>0.01</v>
      </c>
      <c r="H27" s="2">
        <v>0.01</v>
      </c>
      <c r="I27" s="2">
        <v>0.01</v>
      </c>
      <c r="J27" s="2">
        <v>0</v>
      </c>
      <c r="K27" s="2">
        <v>0</v>
      </c>
      <c r="L27" s="9">
        <v>0</v>
      </c>
      <c r="M27" s="2">
        <v>0.01</v>
      </c>
      <c r="N27" s="2">
        <v>0.01</v>
      </c>
      <c r="O27" s="2">
        <v>0.01</v>
      </c>
      <c r="P27" s="2">
        <v>0</v>
      </c>
      <c r="Q27" s="2">
        <v>0</v>
      </c>
      <c r="R27" s="9">
        <v>0.1</v>
      </c>
    </row>
    <row r="28" spans="1:18">
      <c r="C28" s="8">
        <v>4</v>
      </c>
      <c r="D28" s="8" t="s">
        <v>42</v>
      </c>
      <c r="E28" s="9">
        <v>0.1</v>
      </c>
      <c r="F28" s="9">
        <v>0.3</v>
      </c>
      <c r="G28" s="2">
        <v>0.52</v>
      </c>
      <c r="H28" s="2">
        <v>0.53</v>
      </c>
      <c r="I28" s="2">
        <v>1.05</v>
      </c>
      <c r="J28" s="2">
        <v>0</v>
      </c>
      <c r="K28" s="2">
        <v>0.52</v>
      </c>
      <c r="L28" s="9">
        <v>5.4</v>
      </c>
      <c r="M28" s="2">
        <v>0.9</v>
      </c>
      <c r="N28" s="2">
        <v>0.01</v>
      </c>
      <c r="O28" s="2">
        <v>0.91</v>
      </c>
      <c r="P28" s="2">
        <v>0</v>
      </c>
      <c r="Q28" s="2">
        <v>0.52</v>
      </c>
      <c r="R28" s="9">
        <v>57.4</v>
      </c>
    </row>
    <row r="29" spans="1:18">
      <c r="C29" s="8">
        <v>4</v>
      </c>
      <c r="D29" s="8" t="s">
        <v>43</v>
      </c>
      <c r="E29" s="9">
        <v>0</v>
      </c>
      <c r="F29" s="9">
        <v>0.1</v>
      </c>
      <c r="G29" s="2">
        <v>0.14000000000000001</v>
      </c>
      <c r="H29" s="2">
        <v>0.15</v>
      </c>
      <c r="I29" s="2">
        <v>0.47</v>
      </c>
      <c r="J29" s="2">
        <v>0.06</v>
      </c>
      <c r="K29" s="2">
        <v>0.2</v>
      </c>
      <c r="L29" s="9">
        <v>2.1</v>
      </c>
      <c r="M29" s="2">
        <v>0.35</v>
      </c>
      <c r="N29" s="2">
        <v>0.01</v>
      </c>
      <c r="O29" s="2">
        <v>0.36</v>
      </c>
      <c r="P29" s="2">
        <v>0</v>
      </c>
      <c r="Q29" s="2">
        <v>0.2</v>
      </c>
      <c r="R29" s="9">
        <v>19.7</v>
      </c>
    </row>
    <row r="30" spans="1:18">
      <c r="A30" s="8" t="s">
        <v>24</v>
      </c>
      <c r="B30" s="8" t="s">
        <v>47</v>
      </c>
      <c r="C30" s="8">
        <v>1</v>
      </c>
      <c r="D30" s="8" t="s">
        <v>39</v>
      </c>
      <c r="E30" s="9">
        <v>546.70000000000005</v>
      </c>
      <c r="F30" s="9">
        <v>0.4</v>
      </c>
      <c r="G30" s="2">
        <v>0.73</v>
      </c>
      <c r="H30" s="2">
        <v>0.93</v>
      </c>
      <c r="I30" s="2">
        <v>1.06</v>
      </c>
      <c r="J30" s="2">
        <v>0.04</v>
      </c>
      <c r="K30" s="2">
        <v>0.17</v>
      </c>
      <c r="L30" s="9">
        <v>1.7</v>
      </c>
      <c r="M30" s="2">
        <v>0.92</v>
      </c>
      <c r="N30" s="2">
        <v>0.76</v>
      </c>
      <c r="O30" s="2">
        <v>1.05</v>
      </c>
      <c r="P30" s="2">
        <v>0</v>
      </c>
      <c r="Q30" s="2">
        <v>0.17</v>
      </c>
      <c r="R30" s="9">
        <v>32</v>
      </c>
    </row>
    <row r="31" spans="1:18">
      <c r="C31" s="8">
        <v>1</v>
      </c>
      <c r="D31" s="8" t="s">
        <v>40</v>
      </c>
      <c r="E31" s="9">
        <v>213.9</v>
      </c>
      <c r="F31" s="9">
        <v>0.6</v>
      </c>
      <c r="G31" s="2">
        <v>0.98</v>
      </c>
      <c r="H31" s="2">
        <v>1</v>
      </c>
      <c r="I31" s="2">
        <v>1.08</v>
      </c>
      <c r="J31" s="2">
        <v>0.01</v>
      </c>
      <c r="K31" s="2">
        <v>0.06</v>
      </c>
      <c r="L31" s="9">
        <v>0.7</v>
      </c>
      <c r="M31" s="2">
        <v>1.05</v>
      </c>
      <c r="N31" s="2">
        <v>0.95</v>
      </c>
      <c r="O31" s="2">
        <v>1.05</v>
      </c>
      <c r="P31" s="2">
        <v>0</v>
      </c>
      <c r="Q31" s="2">
        <v>0.06</v>
      </c>
      <c r="R31" s="9">
        <v>6.9</v>
      </c>
    </row>
    <row r="32" spans="1:18">
      <c r="C32" s="8">
        <v>2</v>
      </c>
      <c r="D32" s="8" t="s">
        <v>39</v>
      </c>
      <c r="E32" s="9">
        <v>0.1</v>
      </c>
      <c r="F32" s="9">
        <v>136.19999999999999</v>
      </c>
      <c r="G32" s="2">
        <v>0.9</v>
      </c>
      <c r="H32" s="2">
        <v>1.02</v>
      </c>
      <c r="I32" s="2">
        <v>1.07</v>
      </c>
      <c r="J32" s="2">
        <v>0.05</v>
      </c>
      <c r="K32" s="2">
        <v>0.06</v>
      </c>
      <c r="L32" s="9">
        <v>0.7</v>
      </c>
      <c r="M32" s="2">
        <v>1</v>
      </c>
      <c r="N32" s="2">
        <v>0.94</v>
      </c>
      <c r="O32" s="2">
        <v>1.05</v>
      </c>
      <c r="P32" s="2">
        <v>0</v>
      </c>
      <c r="Q32" s="2">
        <v>0.06</v>
      </c>
      <c r="R32" s="9">
        <v>12.1</v>
      </c>
    </row>
    <row r="33" spans="1:18">
      <c r="C33" s="8">
        <v>2</v>
      </c>
      <c r="D33" s="8" t="s">
        <v>40</v>
      </c>
      <c r="E33" s="9">
        <v>0.1</v>
      </c>
      <c r="F33" s="9">
        <v>99.3</v>
      </c>
      <c r="G33" s="2">
        <v>0.95</v>
      </c>
      <c r="H33" s="2">
        <v>1.03</v>
      </c>
      <c r="I33" s="2">
        <v>1.07</v>
      </c>
      <c r="J33" s="2">
        <v>0.03</v>
      </c>
      <c r="K33" s="2">
        <v>0.05</v>
      </c>
      <c r="L33" s="9">
        <v>0.5</v>
      </c>
      <c r="M33" s="2">
        <v>1.03</v>
      </c>
      <c r="N33" s="2">
        <v>0.97</v>
      </c>
      <c r="O33" s="2">
        <v>1.05</v>
      </c>
      <c r="P33" s="2">
        <v>0</v>
      </c>
      <c r="Q33" s="2">
        <v>0.05</v>
      </c>
      <c r="R33" s="9">
        <v>7.5</v>
      </c>
    </row>
    <row r="34" spans="1:18">
      <c r="C34" s="8">
        <v>3</v>
      </c>
      <c r="D34" s="8" t="s">
        <v>39</v>
      </c>
      <c r="E34" s="9">
        <v>0</v>
      </c>
      <c r="F34" s="9">
        <v>0</v>
      </c>
      <c r="G34" s="2">
        <v>0.09</v>
      </c>
      <c r="H34" s="2">
        <v>0.88</v>
      </c>
      <c r="I34" s="2">
        <v>1.06</v>
      </c>
      <c r="J34" s="2">
        <v>0.21</v>
      </c>
      <c r="K34" s="2">
        <v>0.39</v>
      </c>
      <c r="L34" s="9">
        <v>4.0999999999999996</v>
      </c>
      <c r="M34" s="2">
        <v>0.6</v>
      </c>
      <c r="N34" s="2">
        <v>0.55000000000000004</v>
      </c>
      <c r="O34" s="2">
        <v>1.05</v>
      </c>
      <c r="P34" s="2">
        <v>0</v>
      </c>
      <c r="Q34" s="2">
        <v>0.39</v>
      </c>
      <c r="R34" s="9">
        <v>84.4</v>
      </c>
    </row>
    <row r="35" spans="1:18">
      <c r="C35" s="8">
        <v>3</v>
      </c>
      <c r="D35" s="8" t="s">
        <v>40</v>
      </c>
      <c r="E35" s="9">
        <v>0.1</v>
      </c>
      <c r="F35" s="9">
        <v>0.5</v>
      </c>
      <c r="G35" s="2">
        <v>0.93</v>
      </c>
      <c r="H35" s="2">
        <v>1</v>
      </c>
      <c r="I35" s="2">
        <v>1.1000000000000001</v>
      </c>
      <c r="J35" s="2">
        <v>0.05</v>
      </c>
      <c r="K35" s="2">
        <v>0.1</v>
      </c>
      <c r="L35" s="9">
        <v>1.1000000000000001</v>
      </c>
      <c r="M35" s="2">
        <v>1.07</v>
      </c>
      <c r="N35" s="2">
        <v>0.9</v>
      </c>
      <c r="O35" s="2">
        <v>1.05</v>
      </c>
      <c r="P35" s="2">
        <v>0</v>
      </c>
      <c r="Q35" s="2">
        <v>0.1</v>
      </c>
      <c r="R35" s="9">
        <v>11.5</v>
      </c>
    </row>
    <row r="36" spans="1:18">
      <c r="C36" s="8">
        <v>3</v>
      </c>
      <c r="D36" s="8" t="s">
        <v>41</v>
      </c>
      <c r="E36" s="9">
        <v>0</v>
      </c>
      <c r="F36" s="9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9">
        <v>0</v>
      </c>
      <c r="M36" s="2">
        <v>0.01</v>
      </c>
      <c r="N36" s="2">
        <v>0.01</v>
      </c>
      <c r="O36" s="2">
        <v>0.01</v>
      </c>
      <c r="P36" s="2">
        <v>0</v>
      </c>
      <c r="Q36" s="2">
        <v>0</v>
      </c>
      <c r="R36" s="9">
        <v>0.1</v>
      </c>
    </row>
    <row r="37" spans="1:18">
      <c r="C37" s="8">
        <v>3</v>
      </c>
      <c r="D37" s="8" t="s">
        <v>42</v>
      </c>
      <c r="E37" s="9">
        <v>0.1</v>
      </c>
      <c r="F37" s="9">
        <v>0.3</v>
      </c>
      <c r="G37" s="2">
        <v>0.52</v>
      </c>
      <c r="H37" s="2">
        <v>0.53</v>
      </c>
      <c r="I37" s="2">
        <v>1.05</v>
      </c>
      <c r="J37" s="2">
        <v>0</v>
      </c>
      <c r="K37" s="2">
        <v>0.52</v>
      </c>
      <c r="L37" s="9">
        <v>5.4</v>
      </c>
      <c r="M37" s="2">
        <v>0.91</v>
      </c>
      <c r="N37" s="2">
        <v>0.01</v>
      </c>
      <c r="O37" s="2">
        <v>0.91</v>
      </c>
      <c r="P37" s="2">
        <v>0</v>
      </c>
      <c r="Q37" s="2">
        <v>0.52</v>
      </c>
      <c r="R37" s="9">
        <v>58.5</v>
      </c>
    </row>
    <row r="38" spans="1:18">
      <c r="C38" s="8">
        <v>3</v>
      </c>
      <c r="D38" s="8" t="s">
        <v>43</v>
      </c>
      <c r="E38" s="9">
        <v>0</v>
      </c>
      <c r="F38" s="9">
        <v>0.1</v>
      </c>
      <c r="G38" s="2">
        <v>0.09</v>
      </c>
      <c r="H38" s="2">
        <v>0.1</v>
      </c>
      <c r="I38" s="2">
        <v>0.84</v>
      </c>
      <c r="J38" s="2">
        <v>0.23</v>
      </c>
      <c r="K38" s="2">
        <v>0.3</v>
      </c>
      <c r="L38" s="9">
        <v>3.2</v>
      </c>
      <c r="M38" s="2">
        <v>0.52</v>
      </c>
      <c r="N38" s="2">
        <v>0.01</v>
      </c>
      <c r="O38" s="2">
        <v>0.53</v>
      </c>
      <c r="P38" s="2">
        <v>0</v>
      </c>
      <c r="Q38" s="2">
        <v>0.3</v>
      </c>
      <c r="R38" s="9">
        <v>39.4</v>
      </c>
    </row>
    <row r="39" spans="1:18">
      <c r="C39" s="8">
        <v>4</v>
      </c>
      <c r="D39" s="8" t="s">
        <v>39</v>
      </c>
      <c r="E39" s="9">
        <v>0</v>
      </c>
      <c r="F39" s="9">
        <v>0</v>
      </c>
      <c r="G39" s="2">
        <v>0.08</v>
      </c>
      <c r="H39" s="2">
        <v>0.9</v>
      </c>
      <c r="I39" s="2">
        <v>0.94</v>
      </c>
      <c r="J39" s="2">
        <v>0.09</v>
      </c>
      <c r="K39" s="2">
        <v>0.45</v>
      </c>
      <c r="L39" s="9">
        <v>4.5999999999999996</v>
      </c>
      <c r="M39" s="2">
        <v>0.52</v>
      </c>
      <c r="N39" s="2">
        <v>0.55000000000000004</v>
      </c>
      <c r="O39" s="2">
        <v>1.05</v>
      </c>
      <c r="P39" s="2">
        <v>0</v>
      </c>
      <c r="Q39" s="2">
        <v>0.45</v>
      </c>
      <c r="R39" s="9">
        <v>96.4</v>
      </c>
    </row>
    <row r="40" spans="1:18">
      <c r="C40" s="8">
        <v>4</v>
      </c>
      <c r="D40" s="8" t="s">
        <v>40</v>
      </c>
      <c r="E40" s="9">
        <v>0.1</v>
      </c>
      <c r="F40" s="9">
        <v>0.6</v>
      </c>
      <c r="G40" s="2">
        <v>0.99</v>
      </c>
      <c r="H40" s="2">
        <v>0.98</v>
      </c>
      <c r="I40" s="2">
        <v>1.1000000000000001</v>
      </c>
      <c r="J40" s="2">
        <v>0.02</v>
      </c>
      <c r="K40" s="2">
        <v>0.09</v>
      </c>
      <c r="L40" s="9">
        <v>0.9</v>
      </c>
      <c r="M40" s="2">
        <v>1.08</v>
      </c>
      <c r="N40" s="2">
        <v>0.94</v>
      </c>
      <c r="O40" s="2">
        <v>1.05</v>
      </c>
      <c r="P40" s="2">
        <v>0</v>
      </c>
      <c r="Q40" s="2">
        <v>0.09</v>
      </c>
      <c r="R40" s="9">
        <v>6.9</v>
      </c>
    </row>
    <row r="41" spans="1:18">
      <c r="C41" s="8">
        <v>4</v>
      </c>
      <c r="D41" s="8" t="s">
        <v>41</v>
      </c>
      <c r="E41" s="9">
        <v>0</v>
      </c>
      <c r="F41" s="9">
        <v>0</v>
      </c>
      <c r="G41" s="2">
        <v>0.01</v>
      </c>
      <c r="H41" s="2">
        <v>0.01</v>
      </c>
      <c r="I41" s="2">
        <v>0.01</v>
      </c>
      <c r="J41" s="2">
        <v>0</v>
      </c>
      <c r="K41" s="2">
        <v>0</v>
      </c>
      <c r="L41" s="9">
        <v>0</v>
      </c>
      <c r="M41" s="2">
        <v>0.01</v>
      </c>
      <c r="N41" s="2">
        <v>0.01</v>
      </c>
      <c r="O41" s="2">
        <v>0.01</v>
      </c>
      <c r="P41" s="2">
        <v>0</v>
      </c>
      <c r="Q41" s="2">
        <v>0</v>
      </c>
      <c r="R41" s="9">
        <v>0.1</v>
      </c>
    </row>
    <row r="42" spans="1:18">
      <c r="C42" s="8">
        <v>4</v>
      </c>
      <c r="D42" s="8" t="s">
        <v>42</v>
      </c>
      <c r="E42" s="9">
        <v>0.1</v>
      </c>
      <c r="F42" s="9">
        <v>0.3</v>
      </c>
      <c r="G42" s="2">
        <v>0.52</v>
      </c>
      <c r="H42" s="2">
        <v>0.53</v>
      </c>
      <c r="I42" s="2">
        <v>1.05</v>
      </c>
      <c r="J42" s="2">
        <v>0</v>
      </c>
      <c r="K42" s="2">
        <v>0.52</v>
      </c>
      <c r="L42" s="9">
        <v>5.4</v>
      </c>
      <c r="M42" s="2">
        <v>0.9</v>
      </c>
      <c r="N42" s="2">
        <v>0.01</v>
      </c>
      <c r="O42" s="2">
        <v>0.91</v>
      </c>
      <c r="P42" s="2">
        <v>0</v>
      </c>
      <c r="Q42" s="2">
        <v>0.52</v>
      </c>
      <c r="R42" s="9">
        <v>57.4</v>
      </c>
    </row>
    <row r="43" spans="1:18">
      <c r="C43" s="8">
        <v>4</v>
      </c>
      <c r="D43" s="8" t="s">
        <v>43</v>
      </c>
      <c r="E43" s="9">
        <v>0</v>
      </c>
      <c r="F43" s="9">
        <v>0.1</v>
      </c>
      <c r="G43" s="2">
        <v>0.11</v>
      </c>
      <c r="H43" s="2">
        <v>0.11</v>
      </c>
      <c r="I43" s="2">
        <v>0.54</v>
      </c>
      <c r="J43" s="2">
        <v>0.12</v>
      </c>
      <c r="K43" s="2">
        <v>0.21</v>
      </c>
      <c r="L43" s="9">
        <v>2.2000000000000002</v>
      </c>
      <c r="M43" s="2">
        <v>0.36</v>
      </c>
      <c r="N43" s="2">
        <v>0.01</v>
      </c>
      <c r="O43" s="2">
        <v>0.37</v>
      </c>
      <c r="P43" s="2">
        <v>0</v>
      </c>
      <c r="Q43" s="2">
        <v>0.21</v>
      </c>
      <c r="R43" s="9">
        <v>21.1</v>
      </c>
    </row>
    <row r="44" spans="1:18">
      <c r="A44" s="8" t="s">
        <v>24</v>
      </c>
      <c r="B44" s="8" t="s">
        <v>44</v>
      </c>
      <c r="C44" s="8">
        <v>1</v>
      </c>
      <c r="D44" s="8" t="s">
        <v>39</v>
      </c>
      <c r="E44" s="9">
        <v>545.4</v>
      </c>
      <c r="F44" s="9">
        <v>0.4</v>
      </c>
      <c r="G44" s="2">
        <v>0.72</v>
      </c>
      <c r="H44" s="2">
        <v>0.97</v>
      </c>
      <c r="I44" s="2">
        <v>1.04</v>
      </c>
      <c r="J44" s="2">
        <v>7.0000000000000007E-2</v>
      </c>
      <c r="K44" s="2">
        <v>0.17</v>
      </c>
      <c r="L44" s="9">
        <v>1.7</v>
      </c>
      <c r="M44" s="2">
        <v>0.92</v>
      </c>
      <c r="N44" s="2">
        <v>0.76</v>
      </c>
      <c r="O44" s="2">
        <v>1.05</v>
      </c>
      <c r="P44" s="2">
        <v>0</v>
      </c>
      <c r="Q44" s="2">
        <v>0.17</v>
      </c>
      <c r="R44" s="9">
        <v>32.1</v>
      </c>
    </row>
    <row r="45" spans="1:18">
      <c r="C45" s="8">
        <v>1</v>
      </c>
      <c r="D45" s="8" t="s">
        <v>40</v>
      </c>
      <c r="E45" s="9">
        <v>214.1</v>
      </c>
      <c r="F45" s="9">
        <v>0.6</v>
      </c>
      <c r="G45" s="2">
        <v>0.98</v>
      </c>
      <c r="H45" s="2">
        <v>1.01</v>
      </c>
      <c r="I45" s="2">
        <v>1.07</v>
      </c>
      <c r="J45" s="2">
        <v>0.03</v>
      </c>
      <c r="K45" s="2">
        <v>7.0000000000000007E-2</v>
      </c>
      <c r="L45" s="9">
        <v>0.7</v>
      </c>
      <c r="M45" s="2">
        <v>1.05</v>
      </c>
      <c r="N45" s="2">
        <v>0.95</v>
      </c>
      <c r="O45" s="2">
        <v>1.05</v>
      </c>
      <c r="P45" s="2">
        <v>0</v>
      </c>
      <c r="Q45" s="2">
        <v>0.06</v>
      </c>
      <c r="R45" s="9">
        <v>7</v>
      </c>
    </row>
    <row r="46" spans="1:18">
      <c r="C46" s="8">
        <v>2</v>
      </c>
      <c r="D46" s="8" t="s">
        <v>39</v>
      </c>
      <c r="E46" s="9">
        <v>0.1</v>
      </c>
      <c r="F46" s="9">
        <v>132.80000000000001</v>
      </c>
      <c r="G46" s="2">
        <v>0.87</v>
      </c>
      <c r="H46" s="2">
        <v>1.07</v>
      </c>
      <c r="I46" s="2">
        <v>1.05</v>
      </c>
      <c r="J46" s="2">
        <v>0.08</v>
      </c>
      <c r="K46" s="2">
        <v>0.06</v>
      </c>
      <c r="L46" s="9">
        <v>0.7</v>
      </c>
      <c r="M46" s="2">
        <v>1</v>
      </c>
      <c r="N46" s="2">
        <v>0.94</v>
      </c>
      <c r="O46" s="2">
        <v>1.05</v>
      </c>
      <c r="P46" s="2">
        <v>0</v>
      </c>
      <c r="Q46" s="2">
        <v>0.06</v>
      </c>
      <c r="R46" s="9">
        <v>12.1</v>
      </c>
    </row>
    <row r="47" spans="1:18">
      <c r="C47" s="8">
        <v>2</v>
      </c>
      <c r="D47" s="8" t="s">
        <v>40</v>
      </c>
      <c r="E47" s="9">
        <v>0.1</v>
      </c>
      <c r="F47" s="9">
        <v>98.1</v>
      </c>
      <c r="G47" s="2">
        <v>0.94</v>
      </c>
      <c r="H47" s="2">
        <v>1.07</v>
      </c>
      <c r="I47" s="2">
        <v>1.05</v>
      </c>
      <c r="J47" s="2">
        <v>0.06</v>
      </c>
      <c r="K47" s="2">
        <v>0.05</v>
      </c>
      <c r="L47" s="9">
        <v>0.5</v>
      </c>
      <c r="M47" s="2">
        <v>1.03</v>
      </c>
      <c r="N47" s="2">
        <v>0.97</v>
      </c>
      <c r="O47" s="2">
        <v>1.05</v>
      </c>
      <c r="P47" s="2">
        <v>0</v>
      </c>
      <c r="Q47" s="2">
        <v>0.05</v>
      </c>
      <c r="R47" s="9">
        <v>7.7</v>
      </c>
    </row>
    <row r="48" spans="1:18">
      <c r="C48" s="8">
        <v>3</v>
      </c>
      <c r="D48" s="8" t="s">
        <v>39</v>
      </c>
      <c r="E48" s="9">
        <v>0</v>
      </c>
      <c r="F48" s="9">
        <v>0</v>
      </c>
      <c r="G48" s="2">
        <v>0</v>
      </c>
      <c r="H48" s="2">
        <v>1.05</v>
      </c>
      <c r="I48" s="2">
        <v>1.04</v>
      </c>
      <c r="J48" s="2">
        <v>0.34</v>
      </c>
      <c r="K48" s="2">
        <v>0.36</v>
      </c>
      <c r="L48" s="9">
        <v>3.7</v>
      </c>
      <c r="M48" s="2">
        <v>0.6</v>
      </c>
      <c r="N48" s="2">
        <v>0.61</v>
      </c>
      <c r="O48" s="2">
        <v>1.05</v>
      </c>
      <c r="P48" s="2">
        <v>0</v>
      </c>
      <c r="Q48" s="2">
        <v>0.36</v>
      </c>
      <c r="R48" s="9">
        <v>76.900000000000006</v>
      </c>
    </row>
    <row r="49" spans="1:18">
      <c r="C49" s="8">
        <v>3</v>
      </c>
      <c r="D49" s="8" t="s">
        <v>40</v>
      </c>
      <c r="E49" s="9">
        <v>0.1</v>
      </c>
      <c r="F49" s="9">
        <v>0.5</v>
      </c>
      <c r="G49" s="2">
        <v>0.93</v>
      </c>
      <c r="H49" s="2">
        <v>1.05</v>
      </c>
      <c r="I49" s="2">
        <v>1.06</v>
      </c>
      <c r="J49" s="2">
        <v>0.1</v>
      </c>
      <c r="K49" s="2">
        <v>0.1</v>
      </c>
      <c r="L49" s="9">
        <v>1.1000000000000001</v>
      </c>
      <c r="M49" s="2">
        <v>1.06</v>
      </c>
      <c r="N49" s="2">
        <v>0.9</v>
      </c>
      <c r="O49" s="2">
        <v>1.05</v>
      </c>
      <c r="P49" s="2">
        <v>0</v>
      </c>
      <c r="Q49" s="2">
        <v>0.1</v>
      </c>
      <c r="R49" s="9">
        <v>12.1</v>
      </c>
    </row>
    <row r="50" spans="1:18">
      <c r="C50" s="8">
        <v>3</v>
      </c>
      <c r="D50" s="8" t="s">
        <v>41</v>
      </c>
      <c r="E50" s="9">
        <v>0</v>
      </c>
      <c r="F50" s="9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9">
        <v>0</v>
      </c>
      <c r="M50" s="2">
        <v>0.01</v>
      </c>
      <c r="N50" s="2">
        <v>0.01</v>
      </c>
      <c r="O50" s="2">
        <v>0.01</v>
      </c>
      <c r="P50" s="2">
        <v>0</v>
      </c>
      <c r="Q50" s="2">
        <v>0</v>
      </c>
      <c r="R50" s="9">
        <v>0.1</v>
      </c>
    </row>
    <row r="51" spans="1:18">
      <c r="C51" s="8">
        <v>3</v>
      </c>
      <c r="D51" s="8" t="s">
        <v>42</v>
      </c>
      <c r="E51" s="9">
        <v>0.1</v>
      </c>
      <c r="F51" s="9">
        <v>0.3</v>
      </c>
      <c r="G51" s="2">
        <v>0.52</v>
      </c>
      <c r="H51" s="2">
        <v>0.53</v>
      </c>
      <c r="I51" s="2">
        <v>1.05</v>
      </c>
      <c r="J51" s="2">
        <v>0</v>
      </c>
      <c r="K51" s="2">
        <v>0.52</v>
      </c>
      <c r="L51" s="9">
        <v>5.4</v>
      </c>
      <c r="M51" s="2">
        <v>0.91</v>
      </c>
      <c r="N51" s="2">
        <v>0.01</v>
      </c>
      <c r="O51" s="2">
        <v>0.91</v>
      </c>
      <c r="P51" s="2">
        <v>0</v>
      </c>
      <c r="Q51" s="2">
        <v>0.52</v>
      </c>
      <c r="R51" s="9">
        <v>58.5</v>
      </c>
    </row>
    <row r="52" spans="1:18">
      <c r="C52" s="8">
        <v>3</v>
      </c>
      <c r="D52" s="8" t="s">
        <v>43</v>
      </c>
      <c r="E52" s="9">
        <v>0</v>
      </c>
      <c r="F52" s="9">
        <v>0</v>
      </c>
      <c r="G52" s="2">
        <v>0</v>
      </c>
      <c r="H52" s="2">
        <v>0</v>
      </c>
      <c r="I52" s="2">
        <v>1.02</v>
      </c>
      <c r="J52" s="2">
        <v>0.34</v>
      </c>
      <c r="K52" s="2">
        <v>0.34</v>
      </c>
      <c r="L52" s="9">
        <v>3.5</v>
      </c>
      <c r="M52" s="2">
        <v>0.59</v>
      </c>
      <c r="N52" s="2">
        <v>0.01</v>
      </c>
      <c r="O52" s="2">
        <v>0.59</v>
      </c>
      <c r="P52" s="2">
        <v>0</v>
      </c>
      <c r="Q52" s="2">
        <v>0.34</v>
      </c>
      <c r="R52" s="9">
        <v>38.9</v>
      </c>
    </row>
    <row r="53" spans="1:18">
      <c r="C53" s="8">
        <v>4</v>
      </c>
      <c r="D53" s="8" t="s">
        <v>39</v>
      </c>
      <c r="E53" s="9">
        <v>0</v>
      </c>
      <c r="F53" s="9">
        <v>0</v>
      </c>
      <c r="G53" s="2">
        <v>0.01</v>
      </c>
      <c r="H53" s="2">
        <v>0.96</v>
      </c>
      <c r="I53" s="2">
        <v>0.91</v>
      </c>
      <c r="J53" s="2">
        <v>0.15</v>
      </c>
      <c r="K53" s="2">
        <v>0.44</v>
      </c>
      <c r="L53" s="9">
        <v>4.5999999999999996</v>
      </c>
      <c r="M53" s="2">
        <v>0.52</v>
      </c>
      <c r="N53" s="2">
        <v>0.56000000000000005</v>
      </c>
      <c r="O53" s="2">
        <v>1.05</v>
      </c>
      <c r="P53" s="2">
        <v>0</v>
      </c>
      <c r="Q53" s="2">
        <v>0.44</v>
      </c>
      <c r="R53" s="9">
        <v>95.7</v>
      </c>
    </row>
    <row r="54" spans="1:18">
      <c r="C54" s="8">
        <v>4</v>
      </c>
      <c r="D54" s="8" t="s">
        <v>40</v>
      </c>
      <c r="E54" s="9">
        <v>0.1</v>
      </c>
      <c r="F54" s="9">
        <v>0.6</v>
      </c>
      <c r="G54" s="2">
        <v>0.99</v>
      </c>
      <c r="H54" s="2">
        <v>0.99</v>
      </c>
      <c r="I54" s="2">
        <v>1.08</v>
      </c>
      <c r="J54" s="2">
        <v>0.03</v>
      </c>
      <c r="K54" s="2">
        <v>0.09</v>
      </c>
      <c r="L54" s="9">
        <v>0.9</v>
      </c>
      <c r="M54" s="2">
        <v>1.08</v>
      </c>
      <c r="N54" s="2">
        <v>0.94</v>
      </c>
      <c r="O54" s="2">
        <v>1.05</v>
      </c>
      <c r="P54" s="2">
        <v>0</v>
      </c>
      <c r="Q54" s="2">
        <v>0.09</v>
      </c>
      <c r="R54" s="9">
        <v>7</v>
      </c>
    </row>
    <row r="55" spans="1:18">
      <c r="C55" s="8">
        <v>4</v>
      </c>
      <c r="D55" s="8" t="s">
        <v>41</v>
      </c>
      <c r="E55" s="9">
        <v>0</v>
      </c>
      <c r="F55" s="9">
        <v>0</v>
      </c>
      <c r="G55" s="2">
        <v>0.01</v>
      </c>
      <c r="H55" s="2">
        <v>0.01</v>
      </c>
      <c r="I55" s="2">
        <v>0.01</v>
      </c>
      <c r="J55" s="2">
        <v>0</v>
      </c>
      <c r="K55" s="2">
        <v>0</v>
      </c>
      <c r="L55" s="9">
        <v>0</v>
      </c>
      <c r="M55" s="2">
        <v>0.01</v>
      </c>
      <c r="N55" s="2">
        <v>0.01</v>
      </c>
      <c r="O55" s="2">
        <v>0.01</v>
      </c>
      <c r="P55" s="2">
        <v>0</v>
      </c>
      <c r="Q55" s="2">
        <v>0</v>
      </c>
      <c r="R55" s="9">
        <v>0.1</v>
      </c>
    </row>
    <row r="56" spans="1:18">
      <c r="C56" s="8">
        <v>4</v>
      </c>
      <c r="D56" s="8" t="s">
        <v>42</v>
      </c>
      <c r="E56" s="9">
        <v>0.1</v>
      </c>
      <c r="F56" s="9">
        <v>0.3</v>
      </c>
      <c r="G56" s="2">
        <v>0.52</v>
      </c>
      <c r="H56" s="2">
        <v>0.53</v>
      </c>
      <c r="I56" s="2">
        <v>1.05</v>
      </c>
      <c r="J56" s="2">
        <v>0</v>
      </c>
      <c r="K56" s="2">
        <v>0.52</v>
      </c>
      <c r="L56" s="9">
        <v>5.4</v>
      </c>
      <c r="M56" s="2">
        <v>0.9</v>
      </c>
      <c r="N56" s="2">
        <v>0.01</v>
      </c>
      <c r="O56" s="2">
        <v>0.91</v>
      </c>
      <c r="P56" s="2">
        <v>0</v>
      </c>
      <c r="Q56" s="2">
        <v>0.52</v>
      </c>
      <c r="R56" s="9">
        <v>57.4</v>
      </c>
    </row>
    <row r="57" spans="1:18">
      <c r="C57" s="8">
        <v>4</v>
      </c>
      <c r="D57" s="8" t="s">
        <v>43</v>
      </c>
      <c r="E57" s="9">
        <v>0</v>
      </c>
      <c r="F57" s="9">
        <v>0</v>
      </c>
      <c r="G57" s="2">
        <v>0</v>
      </c>
      <c r="H57" s="2">
        <v>0.01</v>
      </c>
      <c r="I57" s="2">
        <v>0.65</v>
      </c>
      <c r="J57" s="2">
        <v>0.21</v>
      </c>
      <c r="K57" s="2">
        <v>0.22</v>
      </c>
      <c r="L57" s="9">
        <v>2.2000000000000002</v>
      </c>
      <c r="M57" s="2">
        <v>0.37</v>
      </c>
      <c r="N57" s="2">
        <v>0.01</v>
      </c>
      <c r="O57" s="2">
        <v>0.38</v>
      </c>
      <c r="P57" s="2">
        <v>0</v>
      </c>
      <c r="Q57" s="2">
        <v>0.22</v>
      </c>
      <c r="R57" s="9">
        <v>20.6</v>
      </c>
    </row>
    <row r="58" spans="1:18">
      <c r="A58" s="8" t="s">
        <v>45</v>
      </c>
      <c r="B58" s="8" t="s">
        <v>46</v>
      </c>
      <c r="C58" s="8">
        <v>1</v>
      </c>
      <c r="D58" s="8" t="s">
        <v>39</v>
      </c>
      <c r="E58" s="9">
        <v>15.3</v>
      </c>
      <c r="F58" s="9">
        <v>0</v>
      </c>
      <c r="G58" s="2">
        <v>0.03</v>
      </c>
      <c r="H58" s="2">
        <v>0.88</v>
      </c>
      <c r="I58" s="2">
        <v>0.85</v>
      </c>
      <c r="J58" s="2">
        <v>0</v>
      </c>
      <c r="K58" s="2">
        <v>0.49</v>
      </c>
      <c r="L58" s="9">
        <v>5.0999999999999996</v>
      </c>
      <c r="M58" s="2">
        <v>0.47</v>
      </c>
      <c r="N58" s="2">
        <v>0.53</v>
      </c>
      <c r="O58" s="2">
        <v>1</v>
      </c>
      <c r="P58" s="2">
        <v>0</v>
      </c>
      <c r="Q58" s="2">
        <v>0.49</v>
      </c>
      <c r="R58" s="9">
        <v>105.4</v>
      </c>
    </row>
    <row r="59" spans="1:18">
      <c r="C59" s="8">
        <v>1</v>
      </c>
      <c r="D59" s="8" t="s">
        <v>40</v>
      </c>
      <c r="E59" s="9">
        <v>14.5</v>
      </c>
      <c r="F59" s="9">
        <v>0</v>
      </c>
      <c r="G59" s="2">
        <v>7.0000000000000007E-2</v>
      </c>
      <c r="H59" s="2">
        <v>0.88</v>
      </c>
      <c r="I59" s="2">
        <v>0.85</v>
      </c>
      <c r="J59" s="2">
        <v>0</v>
      </c>
      <c r="K59" s="2">
        <v>0.46</v>
      </c>
      <c r="L59" s="9">
        <v>4.8</v>
      </c>
      <c r="M59" s="2">
        <v>0.48</v>
      </c>
      <c r="N59" s="2">
        <v>0.53</v>
      </c>
      <c r="O59" s="2">
        <v>1</v>
      </c>
      <c r="P59" s="2">
        <v>0</v>
      </c>
      <c r="Q59" s="2">
        <v>0.46</v>
      </c>
      <c r="R59" s="9">
        <v>100.1</v>
      </c>
    </row>
    <row r="60" spans="1:18">
      <c r="C60" s="8">
        <v>2</v>
      </c>
      <c r="D60" s="8" t="s">
        <v>39</v>
      </c>
      <c r="E60" s="9">
        <v>0</v>
      </c>
      <c r="F60" s="9">
        <v>14.4</v>
      </c>
      <c r="G60" s="2">
        <v>0.1</v>
      </c>
      <c r="H60" s="2">
        <v>0.9</v>
      </c>
      <c r="I60" s="2">
        <v>0.83</v>
      </c>
      <c r="J60" s="2">
        <v>0</v>
      </c>
      <c r="K60" s="2">
        <v>0.46</v>
      </c>
      <c r="L60" s="9">
        <v>4.8</v>
      </c>
      <c r="M60" s="2">
        <v>0.45</v>
      </c>
      <c r="N60" s="2">
        <v>0.56000000000000005</v>
      </c>
      <c r="O60" s="2">
        <v>1</v>
      </c>
      <c r="P60" s="2">
        <v>0</v>
      </c>
      <c r="Q60" s="2">
        <v>0.46</v>
      </c>
      <c r="R60" s="9">
        <v>99.1</v>
      </c>
    </row>
    <row r="61" spans="1:18">
      <c r="C61" s="8">
        <v>2</v>
      </c>
      <c r="D61" s="8" t="s">
        <v>40</v>
      </c>
      <c r="E61" s="9">
        <v>0</v>
      </c>
      <c r="F61" s="9">
        <v>13.7</v>
      </c>
      <c r="G61" s="2">
        <v>0.13</v>
      </c>
      <c r="H61" s="2">
        <v>0.9</v>
      </c>
      <c r="I61" s="2">
        <v>0.84</v>
      </c>
      <c r="J61" s="2">
        <v>0</v>
      </c>
      <c r="K61" s="2">
        <v>0.44</v>
      </c>
      <c r="L61" s="9">
        <v>4.5999999999999996</v>
      </c>
      <c r="M61" s="2">
        <v>0.46</v>
      </c>
      <c r="N61" s="2">
        <v>0.56000000000000005</v>
      </c>
      <c r="O61" s="2">
        <v>1</v>
      </c>
      <c r="P61" s="2">
        <v>0</v>
      </c>
      <c r="Q61" s="2">
        <v>0.44</v>
      </c>
      <c r="R61" s="9">
        <v>94.4</v>
      </c>
    </row>
    <row r="62" spans="1:18">
      <c r="C62" s="8">
        <v>3</v>
      </c>
      <c r="D62" s="8" t="s">
        <v>39</v>
      </c>
      <c r="E62" s="9">
        <v>0</v>
      </c>
      <c r="F62" s="9">
        <v>0</v>
      </c>
      <c r="G62" s="2">
        <v>0.01</v>
      </c>
      <c r="H62" s="2">
        <v>0.87</v>
      </c>
      <c r="I62" s="2">
        <v>0.86</v>
      </c>
      <c r="J62" s="2">
        <v>0</v>
      </c>
      <c r="K62" s="2">
        <v>0.5</v>
      </c>
      <c r="L62" s="9">
        <v>5.2</v>
      </c>
      <c r="M62" s="2">
        <v>0.49</v>
      </c>
      <c r="N62" s="2">
        <v>0.51</v>
      </c>
      <c r="O62" s="2">
        <v>1</v>
      </c>
      <c r="P62" s="2">
        <v>0</v>
      </c>
      <c r="Q62" s="2">
        <v>0.5</v>
      </c>
      <c r="R62" s="9">
        <v>107.5</v>
      </c>
    </row>
    <row r="63" spans="1:18">
      <c r="C63" s="8">
        <v>3</v>
      </c>
      <c r="D63" s="8" t="s">
        <v>40</v>
      </c>
      <c r="E63" s="9">
        <v>0</v>
      </c>
      <c r="F63" s="9">
        <v>0</v>
      </c>
      <c r="G63" s="2">
        <v>0.05</v>
      </c>
      <c r="H63" s="2">
        <v>0.87</v>
      </c>
      <c r="I63" s="2">
        <v>0.86</v>
      </c>
      <c r="J63" s="2">
        <v>0</v>
      </c>
      <c r="K63" s="2">
        <v>0.47</v>
      </c>
      <c r="L63" s="9">
        <v>4.9000000000000004</v>
      </c>
      <c r="M63" s="2">
        <v>0.49</v>
      </c>
      <c r="N63" s="2">
        <v>0.52</v>
      </c>
      <c r="O63" s="2">
        <v>1</v>
      </c>
      <c r="P63" s="2">
        <v>0</v>
      </c>
      <c r="Q63" s="2">
        <v>0.47</v>
      </c>
      <c r="R63" s="9">
        <v>102</v>
      </c>
    </row>
    <row r="64" spans="1:18">
      <c r="C64" s="8">
        <v>3</v>
      </c>
      <c r="D64" s="8" t="s">
        <v>41</v>
      </c>
      <c r="E64" s="9">
        <v>0</v>
      </c>
      <c r="F64" s="9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9">
        <v>0</v>
      </c>
      <c r="M64" s="2">
        <v>0.01</v>
      </c>
      <c r="N64" s="2">
        <v>0.01</v>
      </c>
      <c r="O64" s="2">
        <v>0.01</v>
      </c>
      <c r="P64" s="2">
        <v>0</v>
      </c>
      <c r="Q64" s="2">
        <v>0</v>
      </c>
      <c r="R64" s="9">
        <v>0.1</v>
      </c>
    </row>
    <row r="65" spans="1:18">
      <c r="C65" s="8">
        <v>3</v>
      </c>
      <c r="D65" s="8" t="s">
        <v>42</v>
      </c>
      <c r="E65" s="9">
        <v>0.1</v>
      </c>
      <c r="F65" s="9">
        <v>0.3</v>
      </c>
      <c r="G65" s="2">
        <v>0.5</v>
      </c>
      <c r="H65" s="2">
        <v>0.5</v>
      </c>
      <c r="I65" s="2">
        <v>1</v>
      </c>
      <c r="J65" s="2">
        <v>0</v>
      </c>
      <c r="K65" s="2">
        <v>0.5</v>
      </c>
      <c r="L65" s="9">
        <v>5.2</v>
      </c>
      <c r="M65" s="2">
        <v>0.86</v>
      </c>
      <c r="N65" s="2">
        <v>0.01</v>
      </c>
      <c r="O65" s="2">
        <v>0.87</v>
      </c>
      <c r="P65" s="2">
        <v>0</v>
      </c>
      <c r="Q65" s="2">
        <v>0.5</v>
      </c>
      <c r="R65" s="9">
        <v>57.9</v>
      </c>
    </row>
    <row r="66" spans="1:18">
      <c r="C66" s="8">
        <v>3</v>
      </c>
      <c r="D66" s="8" t="s">
        <v>43</v>
      </c>
      <c r="E66" s="9">
        <v>0</v>
      </c>
      <c r="F66" s="9">
        <v>0</v>
      </c>
      <c r="G66" s="2">
        <v>0.01</v>
      </c>
      <c r="H66" s="2">
        <v>0.01</v>
      </c>
      <c r="I66" s="2">
        <v>0.04</v>
      </c>
      <c r="J66" s="2">
        <v>0.01</v>
      </c>
      <c r="K66" s="2">
        <v>0.02</v>
      </c>
      <c r="L66" s="9">
        <v>0.2</v>
      </c>
      <c r="M66" s="2">
        <v>0.03</v>
      </c>
      <c r="N66" s="2">
        <v>0.01</v>
      </c>
      <c r="O66" s="2">
        <v>0.03</v>
      </c>
      <c r="P66" s="2">
        <v>0</v>
      </c>
      <c r="Q66" s="2">
        <v>0.02</v>
      </c>
      <c r="R66" s="9">
        <v>2.2999999999999998</v>
      </c>
    </row>
    <row r="67" spans="1:18">
      <c r="C67" s="8">
        <v>4</v>
      </c>
      <c r="D67" s="8" t="s">
        <v>39</v>
      </c>
      <c r="E67" s="9">
        <v>0</v>
      </c>
      <c r="F67" s="9">
        <v>0</v>
      </c>
      <c r="G67" s="2">
        <v>0.01</v>
      </c>
      <c r="H67" s="2">
        <v>0.88</v>
      </c>
      <c r="I67" s="2">
        <v>0.85</v>
      </c>
      <c r="J67" s="2">
        <v>0</v>
      </c>
      <c r="K67" s="2">
        <v>0.5</v>
      </c>
      <c r="L67" s="9">
        <v>5.2</v>
      </c>
      <c r="M67" s="2">
        <v>0.48</v>
      </c>
      <c r="N67" s="2">
        <v>0.52</v>
      </c>
      <c r="O67" s="2">
        <v>1</v>
      </c>
      <c r="P67" s="2">
        <v>0</v>
      </c>
      <c r="Q67" s="2">
        <v>0.5</v>
      </c>
      <c r="R67" s="9">
        <v>107.2</v>
      </c>
    </row>
    <row r="68" spans="1:18">
      <c r="C68" s="8">
        <v>4</v>
      </c>
      <c r="D68" s="8" t="s">
        <v>40</v>
      </c>
      <c r="E68" s="9">
        <v>0</v>
      </c>
      <c r="F68" s="9">
        <v>0</v>
      </c>
      <c r="G68" s="2">
        <v>0.06</v>
      </c>
      <c r="H68" s="2">
        <v>0.88</v>
      </c>
      <c r="I68" s="2">
        <v>0.86</v>
      </c>
      <c r="J68" s="2">
        <v>0</v>
      </c>
      <c r="K68" s="2">
        <v>0.47</v>
      </c>
      <c r="L68" s="9">
        <v>4.9000000000000004</v>
      </c>
      <c r="M68" s="2">
        <v>0.48</v>
      </c>
      <c r="N68" s="2">
        <v>0.52</v>
      </c>
      <c r="O68" s="2">
        <v>1</v>
      </c>
      <c r="P68" s="2">
        <v>0</v>
      </c>
      <c r="Q68" s="2">
        <v>0.47</v>
      </c>
      <c r="R68" s="9">
        <v>101.7</v>
      </c>
    </row>
    <row r="69" spans="1:18">
      <c r="C69" s="8">
        <v>4</v>
      </c>
      <c r="D69" s="8" t="s">
        <v>41</v>
      </c>
      <c r="E69" s="9">
        <v>0</v>
      </c>
      <c r="F69" s="9">
        <v>0</v>
      </c>
      <c r="G69" s="2">
        <v>0.01</v>
      </c>
      <c r="H69" s="2">
        <v>0</v>
      </c>
      <c r="I69" s="2">
        <v>0.01</v>
      </c>
      <c r="J69" s="2">
        <v>0</v>
      </c>
      <c r="K69" s="2">
        <v>0</v>
      </c>
      <c r="L69" s="9">
        <v>0</v>
      </c>
      <c r="M69" s="2">
        <v>0.01</v>
      </c>
      <c r="N69" s="2">
        <v>0.01</v>
      </c>
      <c r="O69" s="2">
        <v>0.01</v>
      </c>
      <c r="P69" s="2">
        <v>0</v>
      </c>
      <c r="Q69" s="2">
        <v>0</v>
      </c>
      <c r="R69" s="9">
        <v>0.1</v>
      </c>
    </row>
    <row r="70" spans="1:18">
      <c r="C70" s="8">
        <v>4</v>
      </c>
      <c r="D70" s="8" t="s">
        <v>42</v>
      </c>
      <c r="E70" s="9">
        <v>0.1</v>
      </c>
      <c r="F70" s="9">
        <v>0.3</v>
      </c>
      <c r="G70" s="2">
        <v>0.5</v>
      </c>
      <c r="H70" s="2">
        <v>0.5</v>
      </c>
      <c r="I70" s="2">
        <v>1</v>
      </c>
      <c r="J70" s="2">
        <v>0</v>
      </c>
      <c r="K70" s="2">
        <v>0.5</v>
      </c>
      <c r="L70" s="9">
        <v>5.2</v>
      </c>
      <c r="M70" s="2">
        <v>0.86</v>
      </c>
      <c r="N70" s="2">
        <v>0.01</v>
      </c>
      <c r="O70" s="2">
        <v>0.87</v>
      </c>
      <c r="P70" s="2">
        <v>0</v>
      </c>
      <c r="Q70" s="2">
        <v>0.5</v>
      </c>
      <c r="R70" s="9">
        <v>58</v>
      </c>
    </row>
    <row r="71" spans="1:18">
      <c r="C71" s="8">
        <v>4</v>
      </c>
      <c r="D71" s="8" t="s">
        <v>43</v>
      </c>
      <c r="E71" s="9">
        <v>0</v>
      </c>
      <c r="F71" s="9">
        <v>0</v>
      </c>
      <c r="G71" s="2">
        <v>0.02</v>
      </c>
      <c r="H71" s="2">
        <v>0.02</v>
      </c>
      <c r="I71" s="2">
        <v>0.06</v>
      </c>
      <c r="J71" s="2">
        <v>0.01</v>
      </c>
      <c r="K71" s="2">
        <v>0.02</v>
      </c>
      <c r="L71" s="9">
        <v>0.2</v>
      </c>
      <c r="M71" s="2">
        <v>0.05</v>
      </c>
      <c r="N71" s="2">
        <v>0.01</v>
      </c>
      <c r="O71" s="2">
        <v>0.05</v>
      </c>
      <c r="P71" s="2">
        <v>0</v>
      </c>
      <c r="Q71" s="2">
        <v>0.02</v>
      </c>
      <c r="R71" s="9">
        <v>3.3</v>
      </c>
    </row>
    <row r="72" spans="1:18">
      <c r="A72" s="8" t="s">
        <v>45</v>
      </c>
      <c r="B72" s="8" t="s">
        <v>47</v>
      </c>
      <c r="C72" s="8">
        <v>1</v>
      </c>
      <c r="D72" s="8" t="s">
        <v>39</v>
      </c>
      <c r="E72" s="9">
        <v>15.2</v>
      </c>
      <c r="F72" s="9">
        <v>0</v>
      </c>
      <c r="G72" s="2">
        <v>0.03</v>
      </c>
      <c r="H72" s="2">
        <v>0.88</v>
      </c>
      <c r="I72" s="2">
        <v>0.85</v>
      </c>
      <c r="J72" s="2">
        <v>0.01</v>
      </c>
      <c r="K72" s="2">
        <v>0.49</v>
      </c>
      <c r="L72" s="9">
        <v>5</v>
      </c>
      <c r="M72" s="2">
        <v>0.47</v>
      </c>
      <c r="N72" s="2">
        <v>0.53</v>
      </c>
      <c r="O72" s="2">
        <v>1</v>
      </c>
      <c r="P72" s="2">
        <v>0</v>
      </c>
      <c r="Q72" s="2">
        <v>0.48</v>
      </c>
      <c r="R72" s="9">
        <v>104.5</v>
      </c>
    </row>
    <row r="73" spans="1:18">
      <c r="C73" s="8">
        <v>1</v>
      </c>
      <c r="D73" s="8" t="s">
        <v>40</v>
      </c>
      <c r="E73" s="9">
        <v>14.4</v>
      </c>
      <c r="F73" s="9">
        <v>0</v>
      </c>
      <c r="G73" s="2">
        <v>7.0000000000000007E-2</v>
      </c>
      <c r="H73" s="2">
        <v>0.88</v>
      </c>
      <c r="I73" s="2">
        <v>0.85</v>
      </c>
      <c r="J73" s="2">
        <v>0.01</v>
      </c>
      <c r="K73" s="2">
        <v>0.46</v>
      </c>
      <c r="L73" s="9">
        <v>4.8</v>
      </c>
      <c r="M73" s="2">
        <v>0.48</v>
      </c>
      <c r="N73" s="2">
        <v>0.53</v>
      </c>
      <c r="O73" s="2">
        <v>1</v>
      </c>
      <c r="P73" s="2">
        <v>0</v>
      </c>
      <c r="Q73" s="2">
        <v>0.46</v>
      </c>
      <c r="R73" s="9">
        <v>99.3</v>
      </c>
    </row>
    <row r="74" spans="1:18">
      <c r="C74" s="8">
        <v>2</v>
      </c>
      <c r="D74" s="8" t="s">
        <v>39</v>
      </c>
      <c r="E74" s="9">
        <v>0</v>
      </c>
      <c r="F74" s="9">
        <v>14.3</v>
      </c>
      <c r="G74" s="2">
        <v>0.09</v>
      </c>
      <c r="H74" s="2">
        <v>0.9</v>
      </c>
      <c r="I74" s="2">
        <v>0.84</v>
      </c>
      <c r="J74" s="2">
        <v>0.01</v>
      </c>
      <c r="K74" s="2">
        <v>0.46</v>
      </c>
      <c r="L74" s="9">
        <v>4.8</v>
      </c>
      <c r="M74" s="2">
        <v>0.45</v>
      </c>
      <c r="N74" s="2">
        <v>0.56000000000000005</v>
      </c>
      <c r="O74" s="2">
        <v>1</v>
      </c>
      <c r="P74" s="2">
        <v>0</v>
      </c>
      <c r="Q74" s="2">
        <v>0.46</v>
      </c>
      <c r="R74" s="9">
        <v>98.3</v>
      </c>
    </row>
    <row r="75" spans="1:18">
      <c r="C75" s="8">
        <v>2</v>
      </c>
      <c r="D75" s="8" t="s">
        <v>40</v>
      </c>
      <c r="E75" s="9">
        <v>0</v>
      </c>
      <c r="F75" s="9">
        <v>13.6</v>
      </c>
      <c r="G75" s="2">
        <v>0.13</v>
      </c>
      <c r="H75" s="2">
        <v>0.9</v>
      </c>
      <c r="I75" s="2">
        <v>0.84</v>
      </c>
      <c r="J75" s="2">
        <v>0.01</v>
      </c>
      <c r="K75" s="2">
        <v>0.44</v>
      </c>
      <c r="L75" s="9">
        <v>4.5</v>
      </c>
      <c r="M75" s="2">
        <v>0.46</v>
      </c>
      <c r="N75" s="2">
        <v>0.56000000000000005</v>
      </c>
      <c r="O75" s="2">
        <v>1</v>
      </c>
      <c r="P75" s="2">
        <v>0</v>
      </c>
      <c r="Q75" s="2">
        <v>0.44</v>
      </c>
      <c r="R75" s="9">
        <v>93.7</v>
      </c>
    </row>
    <row r="76" spans="1:18">
      <c r="C76" s="8">
        <v>3</v>
      </c>
      <c r="D76" s="8" t="s">
        <v>39</v>
      </c>
      <c r="E76" s="9">
        <v>0</v>
      </c>
      <c r="F76" s="9">
        <v>0</v>
      </c>
      <c r="G76" s="2">
        <v>0.01</v>
      </c>
      <c r="H76" s="2">
        <v>0.87</v>
      </c>
      <c r="I76" s="2">
        <v>0.86</v>
      </c>
      <c r="J76" s="2">
        <v>0.01</v>
      </c>
      <c r="K76" s="2">
        <v>0.49</v>
      </c>
      <c r="L76" s="9">
        <v>5.0999999999999996</v>
      </c>
      <c r="M76" s="2">
        <v>0.49</v>
      </c>
      <c r="N76" s="2">
        <v>0.51</v>
      </c>
      <c r="O76" s="2">
        <v>1</v>
      </c>
      <c r="P76" s="2">
        <v>0</v>
      </c>
      <c r="Q76" s="2">
        <v>0.49</v>
      </c>
      <c r="R76" s="9">
        <v>106.6</v>
      </c>
    </row>
    <row r="77" spans="1:18">
      <c r="C77" s="8">
        <v>3</v>
      </c>
      <c r="D77" s="8" t="s">
        <v>40</v>
      </c>
      <c r="E77" s="9">
        <v>0</v>
      </c>
      <c r="F77" s="9">
        <v>0</v>
      </c>
      <c r="G77" s="2">
        <v>0.05</v>
      </c>
      <c r="H77" s="2">
        <v>0.87</v>
      </c>
      <c r="I77" s="2">
        <v>0.86</v>
      </c>
      <c r="J77" s="2">
        <v>0.01</v>
      </c>
      <c r="K77" s="2">
        <v>0.47</v>
      </c>
      <c r="L77" s="9">
        <v>4.9000000000000004</v>
      </c>
      <c r="M77" s="2">
        <v>0.49</v>
      </c>
      <c r="N77" s="2">
        <v>0.52</v>
      </c>
      <c r="O77" s="2">
        <v>1</v>
      </c>
      <c r="P77" s="2">
        <v>0</v>
      </c>
      <c r="Q77" s="2">
        <v>0.47</v>
      </c>
      <c r="R77" s="9">
        <v>101.1</v>
      </c>
    </row>
    <row r="78" spans="1:18">
      <c r="C78" s="8">
        <v>3</v>
      </c>
      <c r="D78" s="8" t="s">
        <v>41</v>
      </c>
      <c r="E78" s="9">
        <v>0</v>
      </c>
      <c r="F78" s="9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9">
        <v>0</v>
      </c>
      <c r="M78" s="2">
        <v>0.01</v>
      </c>
      <c r="N78" s="2">
        <v>0.01</v>
      </c>
      <c r="O78" s="2">
        <v>0.01</v>
      </c>
      <c r="P78" s="2">
        <v>0</v>
      </c>
      <c r="Q78" s="2">
        <v>0</v>
      </c>
      <c r="R78" s="9">
        <v>0.1</v>
      </c>
    </row>
    <row r="79" spans="1:18">
      <c r="C79" s="8">
        <v>3</v>
      </c>
      <c r="D79" s="8" t="s">
        <v>42</v>
      </c>
      <c r="E79" s="9">
        <v>0.1</v>
      </c>
      <c r="F79" s="9">
        <v>0.3</v>
      </c>
      <c r="G79" s="2">
        <v>0.5</v>
      </c>
      <c r="H79" s="2">
        <v>0.5</v>
      </c>
      <c r="I79" s="2">
        <v>1</v>
      </c>
      <c r="J79" s="2">
        <v>0</v>
      </c>
      <c r="K79" s="2">
        <v>0.5</v>
      </c>
      <c r="L79" s="9">
        <v>5.2</v>
      </c>
      <c r="M79" s="2">
        <v>0.86</v>
      </c>
      <c r="N79" s="2">
        <v>0.01</v>
      </c>
      <c r="O79" s="2">
        <v>0.87</v>
      </c>
      <c r="P79" s="2">
        <v>0</v>
      </c>
      <c r="Q79" s="2">
        <v>0.5</v>
      </c>
      <c r="R79" s="9">
        <v>57.9</v>
      </c>
    </row>
    <row r="80" spans="1:18">
      <c r="C80" s="8">
        <v>3</v>
      </c>
      <c r="D80" s="8" t="s">
        <v>43</v>
      </c>
      <c r="E80" s="9">
        <v>0</v>
      </c>
      <c r="F80" s="9">
        <v>0</v>
      </c>
      <c r="G80" s="2">
        <v>0.01</v>
      </c>
      <c r="H80" s="2">
        <v>0.01</v>
      </c>
      <c r="I80" s="2">
        <v>7.0000000000000007E-2</v>
      </c>
      <c r="J80" s="2">
        <v>0.02</v>
      </c>
      <c r="K80" s="2">
        <v>0.02</v>
      </c>
      <c r="L80" s="9">
        <v>0.3</v>
      </c>
      <c r="M80" s="2">
        <v>0.05</v>
      </c>
      <c r="N80" s="2">
        <v>0.01</v>
      </c>
      <c r="O80" s="2">
        <v>0.05</v>
      </c>
      <c r="P80" s="2">
        <v>0</v>
      </c>
      <c r="Q80" s="2">
        <v>0.02</v>
      </c>
      <c r="R80" s="9">
        <v>0.3</v>
      </c>
    </row>
    <row r="81" spans="1:18">
      <c r="C81" s="8">
        <v>4</v>
      </c>
      <c r="D81" s="8" t="s">
        <v>39</v>
      </c>
      <c r="E81" s="9">
        <v>0</v>
      </c>
      <c r="F81" s="9">
        <v>0</v>
      </c>
      <c r="G81" s="2">
        <v>0.01</v>
      </c>
      <c r="H81" s="2">
        <v>0.88</v>
      </c>
      <c r="I81" s="2">
        <v>0.85</v>
      </c>
      <c r="J81" s="2">
        <v>0.01</v>
      </c>
      <c r="K81" s="2">
        <v>0.49</v>
      </c>
      <c r="L81" s="9">
        <v>5.0999999999999996</v>
      </c>
      <c r="M81" s="2">
        <v>0.48</v>
      </c>
      <c r="N81" s="2">
        <v>0.52</v>
      </c>
      <c r="O81" s="2">
        <v>1</v>
      </c>
      <c r="P81" s="2">
        <v>0</v>
      </c>
      <c r="Q81" s="2">
        <v>0.49</v>
      </c>
      <c r="R81" s="9">
        <v>106.3</v>
      </c>
    </row>
    <row r="82" spans="1:18">
      <c r="C82" s="8">
        <v>4</v>
      </c>
      <c r="D82" s="8" t="s">
        <v>40</v>
      </c>
      <c r="E82" s="9">
        <v>0</v>
      </c>
      <c r="F82" s="9">
        <v>0</v>
      </c>
      <c r="G82" s="2">
        <v>0.06</v>
      </c>
      <c r="H82" s="2">
        <v>0.88</v>
      </c>
      <c r="I82" s="2">
        <v>0.86</v>
      </c>
      <c r="J82" s="2">
        <v>0.01</v>
      </c>
      <c r="K82" s="2">
        <v>0.47</v>
      </c>
      <c r="L82" s="9">
        <v>4.9000000000000004</v>
      </c>
      <c r="M82" s="2">
        <v>0.48</v>
      </c>
      <c r="N82" s="2">
        <v>0.52</v>
      </c>
      <c r="O82" s="2">
        <v>1</v>
      </c>
      <c r="P82" s="2">
        <v>0</v>
      </c>
      <c r="Q82" s="2">
        <v>0.47</v>
      </c>
      <c r="R82" s="9">
        <v>100.9</v>
      </c>
    </row>
    <row r="83" spans="1:18">
      <c r="C83" s="8">
        <v>4</v>
      </c>
      <c r="D83" s="8" t="s">
        <v>41</v>
      </c>
      <c r="E83" s="9">
        <v>0</v>
      </c>
      <c r="F83" s="9">
        <v>0</v>
      </c>
      <c r="G83" s="2">
        <v>0.01</v>
      </c>
      <c r="H83" s="2">
        <v>0</v>
      </c>
      <c r="I83" s="2">
        <v>0.01</v>
      </c>
      <c r="J83" s="2">
        <v>0</v>
      </c>
      <c r="K83" s="2">
        <v>0</v>
      </c>
      <c r="L83" s="9">
        <v>0</v>
      </c>
      <c r="M83" s="2">
        <v>0.01</v>
      </c>
      <c r="N83" s="2">
        <v>0.01</v>
      </c>
      <c r="O83" s="2">
        <v>0.01</v>
      </c>
      <c r="P83" s="2">
        <v>0</v>
      </c>
      <c r="Q83" s="2">
        <v>0</v>
      </c>
      <c r="R83" s="9">
        <v>0.1</v>
      </c>
    </row>
    <row r="84" spans="1:18">
      <c r="C84" s="8">
        <v>4</v>
      </c>
      <c r="D84" s="8" t="s">
        <v>42</v>
      </c>
      <c r="E84" s="9">
        <v>0.1</v>
      </c>
      <c r="F84" s="9">
        <v>0.3</v>
      </c>
      <c r="G84" s="2">
        <v>0.5</v>
      </c>
      <c r="H84" s="2">
        <v>0.5</v>
      </c>
      <c r="I84" s="2">
        <v>1</v>
      </c>
      <c r="J84" s="2">
        <v>0</v>
      </c>
      <c r="K84" s="2">
        <v>0.5</v>
      </c>
      <c r="L84" s="9">
        <v>5.2</v>
      </c>
      <c r="M84" s="2">
        <v>0.86</v>
      </c>
      <c r="N84" s="2">
        <v>0.01</v>
      </c>
      <c r="O84" s="2">
        <v>0.87</v>
      </c>
      <c r="P84" s="2">
        <v>0</v>
      </c>
      <c r="Q84" s="2">
        <v>0.5</v>
      </c>
      <c r="R84" s="9">
        <v>58</v>
      </c>
    </row>
    <row r="85" spans="1:18">
      <c r="C85" s="8">
        <v>4</v>
      </c>
      <c r="D85" s="8" t="s">
        <v>43</v>
      </c>
      <c r="E85" s="9">
        <v>0</v>
      </c>
      <c r="F85" s="9">
        <v>0</v>
      </c>
      <c r="G85" s="2">
        <v>0.02</v>
      </c>
      <c r="H85" s="2">
        <v>0.02</v>
      </c>
      <c r="I85" s="2">
        <v>0.08</v>
      </c>
      <c r="J85" s="2">
        <v>0.02</v>
      </c>
      <c r="K85" s="2">
        <v>0.03</v>
      </c>
      <c r="L85" s="9">
        <v>0.3</v>
      </c>
      <c r="M85" s="2">
        <v>0.06</v>
      </c>
      <c r="N85" s="2">
        <v>0.01</v>
      </c>
      <c r="O85" s="2">
        <v>7.0000000000000007E-2</v>
      </c>
      <c r="P85" s="2">
        <v>0</v>
      </c>
      <c r="Q85" s="2">
        <v>0.03</v>
      </c>
      <c r="R85" s="9">
        <v>1.2</v>
      </c>
    </row>
    <row r="86" spans="1:18">
      <c r="A86" s="8" t="s">
        <v>45</v>
      </c>
      <c r="B86" s="8" t="s">
        <v>44</v>
      </c>
      <c r="C86" s="8">
        <v>1</v>
      </c>
      <c r="D86" s="8" t="s">
        <v>39</v>
      </c>
      <c r="E86" s="9">
        <v>0.3</v>
      </c>
      <c r="F86" s="9">
        <v>0</v>
      </c>
      <c r="G86" s="2">
        <v>0</v>
      </c>
      <c r="H86" s="2">
        <v>1.72</v>
      </c>
      <c r="I86" s="2">
        <v>1.75</v>
      </c>
      <c r="J86" s="2">
        <v>1</v>
      </c>
      <c r="K86" s="2">
        <v>0.01</v>
      </c>
      <c r="L86" s="9">
        <v>0.1</v>
      </c>
      <c r="M86" s="2">
        <v>1.01</v>
      </c>
      <c r="N86" s="2">
        <v>0.99</v>
      </c>
      <c r="O86" s="2">
        <v>1</v>
      </c>
      <c r="P86" s="2">
        <v>0</v>
      </c>
      <c r="Q86" s="2">
        <v>0.01</v>
      </c>
      <c r="R86" s="9">
        <v>0.3</v>
      </c>
    </row>
    <row r="87" spans="1:18">
      <c r="C87" s="8">
        <v>1</v>
      </c>
      <c r="D87" s="8" t="s">
        <v>40</v>
      </c>
      <c r="E87" s="9">
        <v>0.3</v>
      </c>
      <c r="F87" s="9">
        <v>0</v>
      </c>
      <c r="G87" s="2">
        <v>0</v>
      </c>
      <c r="H87" s="2">
        <v>1.72</v>
      </c>
      <c r="I87" s="2">
        <v>1.75</v>
      </c>
      <c r="J87" s="2">
        <v>1</v>
      </c>
      <c r="K87" s="2">
        <v>0.01</v>
      </c>
      <c r="L87" s="9">
        <v>0.1</v>
      </c>
      <c r="M87" s="2">
        <v>1.01</v>
      </c>
      <c r="N87" s="2">
        <v>0.99</v>
      </c>
      <c r="O87" s="2">
        <v>1</v>
      </c>
      <c r="P87" s="2">
        <v>0</v>
      </c>
      <c r="Q87" s="2">
        <v>0.01</v>
      </c>
      <c r="R87" s="9">
        <v>0.2</v>
      </c>
    </row>
    <row r="88" spans="1:18">
      <c r="C88" s="8">
        <v>2</v>
      </c>
      <c r="D88" s="8" t="s">
        <v>39</v>
      </c>
      <c r="E88" s="9">
        <v>0</v>
      </c>
      <c r="F88" s="9">
        <v>0.3</v>
      </c>
      <c r="G88" s="2">
        <v>0</v>
      </c>
      <c r="H88" s="2">
        <v>1.72</v>
      </c>
      <c r="I88" s="2">
        <v>1.75</v>
      </c>
      <c r="J88" s="2">
        <v>1</v>
      </c>
      <c r="K88" s="2">
        <v>0.01</v>
      </c>
      <c r="L88" s="9">
        <v>0.1</v>
      </c>
      <c r="M88" s="2">
        <v>1.01</v>
      </c>
      <c r="N88" s="2">
        <v>0.99</v>
      </c>
      <c r="O88" s="2">
        <v>1</v>
      </c>
      <c r="P88" s="2">
        <v>0</v>
      </c>
      <c r="Q88" s="2">
        <v>0.01</v>
      </c>
      <c r="R88" s="9">
        <v>0.2</v>
      </c>
    </row>
    <row r="89" spans="1:18">
      <c r="C89" s="8">
        <v>2</v>
      </c>
      <c r="D89" s="8" t="s">
        <v>40</v>
      </c>
      <c r="E89" s="9">
        <v>0</v>
      </c>
      <c r="F89" s="9">
        <v>0.3</v>
      </c>
      <c r="G89" s="2">
        <v>0</v>
      </c>
      <c r="H89" s="2">
        <v>1.72</v>
      </c>
      <c r="I89" s="2">
        <v>1.75</v>
      </c>
      <c r="J89" s="2">
        <v>1</v>
      </c>
      <c r="K89" s="2">
        <v>0.01</v>
      </c>
      <c r="L89" s="9">
        <v>0.1</v>
      </c>
      <c r="M89" s="2">
        <v>1.01</v>
      </c>
      <c r="N89" s="2">
        <v>0.99</v>
      </c>
      <c r="O89" s="2">
        <v>1</v>
      </c>
      <c r="P89" s="2">
        <v>0</v>
      </c>
      <c r="Q89" s="2">
        <v>0.01</v>
      </c>
      <c r="R89" s="9">
        <v>0.2</v>
      </c>
    </row>
    <row r="90" spans="1:18">
      <c r="C90" s="8">
        <v>3</v>
      </c>
      <c r="D90" s="8" t="s">
        <v>39</v>
      </c>
      <c r="E90" s="9">
        <v>0</v>
      </c>
      <c r="F90" s="9">
        <v>0</v>
      </c>
      <c r="G90" s="2">
        <v>0</v>
      </c>
      <c r="H90" s="2">
        <v>1.72</v>
      </c>
      <c r="I90" s="2">
        <v>1.75</v>
      </c>
      <c r="J90" s="2">
        <v>1</v>
      </c>
      <c r="K90" s="2">
        <v>0.01</v>
      </c>
      <c r="L90" s="9">
        <v>0.1</v>
      </c>
      <c r="M90" s="2">
        <v>1.01</v>
      </c>
      <c r="N90" s="2">
        <v>0.99</v>
      </c>
      <c r="O90" s="2">
        <v>1</v>
      </c>
      <c r="P90" s="2">
        <v>0</v>
      </c>
      <c r="Q90" s="2">
        <v>0.01</v>
      </c>
      <c r="R90" s="9">
        <v>0.3</v>
      </c>
    </row>
    <row r="91" spans="1:18">
      <c r="C91" s="8">
        <v>3</v>
      </c>
      <c r="D91" s="8" t="s">
        <v>40</v>
      </c>
      <c r="E91" s="9">
        <v>0</v>
      </c>
      <c r="F91" s="9">
        <v>0</v>
      </c>
      <c r="G91" s="2">
        <v>0</v>
      </c>
      <c r="H91" s="2">
        <v>1.72</v>
      </c>
      <c r="I91" s="2">
        <v>1.75</v>
      </c>
      <c r="J91" s="2">
        <v>1</v>
      </c>
      <c r="K91" s="2">
        <v>0.01</v>
      </c>
      <c r="L91" s="9">
        <v>0.1</v>
      </c>
      <c r="M91" s="2">
        <v>1.01</v>
      </c>
      <c r="N91" s="2">
        <v>0.99</v>
      </c>
      <c r="O91" s="2">
        <v>1</v>
      </c>
      <c r="P91" s="2">
        <v>0</v>
      </c>
      <c r="Q91" s="2">
        <v>0.01</v>
      </c>
      <c r="R91" s="9">
        <v>0.3</v>
      </c>
    </row>
    <row r="92" spans="1:18">
      <c r="C92" s="8">
        <v>3</v>
      </c>
      <c r="D92" s="8" t="s">
        <v>41</v>
      </c>
      <c r="E92" s="9">
        <v>0</v>
      </c>
      <c r="F92" s="9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9">
        <v>0</v>
      </c>
      <c r="M92" s="2">
        <v>0.01</v>
      </c>
      <c r="N92" s="2">
        <v>0.01</v>
      </c>
      <c r="O92" s="2">
        <v>0.01</v>
      </c>
      <c r="P92" s="2">
        <v>0</v>
      </c>
      <c r="Q92" s="2">
        <v>0</v>
      </c>
      <c r="R92" s="9">
        <v>0.1</v>
      </c>
    </row>
    <row r="93" spans="1:18">
      <c r="C93" s="8">
        <v>3</v>
      </c>
      <c r="D93" s="8" t="s">
        <v>42</v>
      </c>
      <c r="E93" s="9">
        <v>0</v>
      </c>
      <c r="F93" s="9">
        <v>0.1</v>
      </c>
      <c r="G93" s="2">
        <v>0.17</v>
      </c>
      <c r="H93" s="2">
        <v>0.18</v>
      </c>
      <c r="I93" s="2">
        <v>1.33</v>
      </c>
      <c r="J93" s="2">
        <v>0.33</v>
      </c>
      <c r="K93" s="2">
        <v>0.5</v>
      </c>
      <c r="L93" s="9">
        <v>5.2</v>
      </c>
      <c r="M93" s="2">
        <v>0.86</v>
      </c>
      <c r="N93" s="2">
        <v>0.01</v>
      </c>
      <c r="O93" s="2">
        <v>0.87</v>
      </c>
      <c r="P93" s="2">
        <v>0</v>
      </c>
      <c r="Q93" s="2">
        <v>0.5</v>
      </c>
      <c r="R93" s="9">
        <v>57.3</v>
      </c>
    </row>
    <row r="94" spans="1:18">
      <c r="C94" s="8">
        <v>3</v>
      </c>
      <c r="D94" s="8" t="s">
        <v>43</v>
      </c>
      <c r="E94" s="9">
        <v>0</v>
      </c>
      <c r="F94" s="9">
        <v>0</v>
      </c>
      <c r="G94" s="2">
        <v>0</v>
      </c>
      <c r="H94" s="2">
        <v>0</v>
      </c>
      <c r="I94" s="2">
        <v>1.5</v>
      </c>
      <c r="J94" s="2">
        <v>0.5</v>
      </c>
      <c r="K94" s="2">
        <v>0.5</v>
      </c>
      <c r="L94" s="9">
        <v>5.2</v>
      </c>
      <c r="M94" s="2">
        <v>0.86</v>
      </c>
      <c r="N94" s="2">
        <v>0.01</v>
      </c>
      <c r="O94" s="2">
        <v>0.87</v>
      </c>
      <c r="P94" s="2">
        <v>0</v>
      </c>
      <c r="Q94" s="2">
        <v>0.5</v>
      </c>
      <c r="R94" s="9">
        <v>57.5</v>
      </c>
    </row>
    <row r="95" spans="1:18">
      <c r="C95" s="8">
        <v>4</v>
      </c>
      <c r="D95" s="8" t="s">
        <v>39</v>
      </c>
      <c r="E95" s="9">
        <v>0</v>
      </c>
      <c r="F95" s="9">
        <v>0</v>
      </c>
      <c r="G95" s="2">
        <v>0</v>
      </c>
      <c r="H95" s="2">
        <v>1.72</v>
      </c>
      <c r="I95" s="2">
        <v>1.75</v>
      </c>
      <c r="J95" s="2">
        <v>1</v>
      </c>
      <c r="K95" s="2">
        <v>0.01</v>
      </c>
      <c r="L95" s="9">
        <v>0.1</v>
      </c>
      <c r="M95" s="2">
        <v>1.01</v>
      </c>
      <c r="N95" s="2">
        <v>0.99</v>
      </c>
      <c r="O95" s="2">
        <v>1</v>
      </c>
      <c r="P95" s="2">
        <v>0</v>
      </c>
      <c r="Q95" s="2">
        <v>0.01</v>
      </c>
      <c r="R95" s="9">
        <v>0.3</v>
      </c>
    </row>
    <row r="96" spans="1:18">
      <c r="C96" s="8">
        <v>4</v>
      </c>
      <c r="D96" s="8" t="s">
        <v>40</v>
      </c>
      <c r="E96" s="9">
        <v>0</v>
      </c>
      <c r="F96" s="9">
        <v>0</v>
      </c>
      <c r="G96" s="2">
        <v>0</v>
      </c>
      <c r="H96" s="2">
        <v>1.72</v>
      </c>
      <c r="I96" s="2">
        <v>1.75</v>
      </c>
      <c r="J96" s="2">
        <v>1</v>
      </c>
      <c r="K96" s="2">
        <v>0.01</v>
      </c>
      <c r="L96" s="9">
        <v>0.1</v>
      </c>
      <c r="M96" s="2">
        <v>1.01</v>
      </c>
      <c r="N96" s="2">
        <v>0.99</v>
      </c>
      <c r="O96" s="2">
        <v>1</v>
      </c>
      <c r="P96" s="2">
        <v>0</v>
      </c>
      <c r="Q96" s="2">
        <v>0.01</v>
      </c>
      <c r="R96" s="9">
        <v>0.3</v>
      </c>
    </row>
    <row r="97" spans="3:18">
      <c r="C97" s="8">
        <v>4</v>
      </c>
      <c r="D97" s="8" t="s">
        <v>41</v>
      </c>
      <c r="E97" s="9">
        <v>0</v>
      </c>
      <c r="F97" s="9">
        <v>0</v>
      </c>
      <c r="G97" s="2">
        <v>0.01</v>
      </c>
      <c r="H97" s="2">
        <v>0</v>
      </c>
      <c r="I97" s="2">
        <v>0.01</v>
      </c>
      <c r="J97" s="2">
        <v>0</v>
      </c>
      <c r="K97" s="2">
        <v>0</v>
      </c>
      <c r="L97" s="9">
        <v>0</v>
      </c>
      <c r="M97" s="2">
        <v>0.01</v>
      </c>
      <c r="N97" s="2">
        <v>0.01</v>
      </c>
      <c r="O97" s="2">
        <v>0.01</v>
      </c>
      <c r="P97" s="2">
        <v>0</v>
      </c>
      <c r="Q97" s="2">
        <v>0</v>
      </c>
      <c r="R97" s="9">
        <v>0.1</v>
      </c>
    </row>
    <row r="98" spans="3:18">
      <c r="C98" s="8">
        <v>4</v>
      </c>
      <c r="D98" s="8" t="s">
        <v>42</v>
      </c>
      <c r="E98" s="9">
        <v>0</v>
      </c>
      <c r="F98" s="9">
        <v>0.1</v>
      </c>
      <c r="G98" s="2">
        <v>0.17</v>
      </c>
      <c r="H98" s="2">
        <v>0.18</v>
      </c>
      <c r="I98" s="2">
        <v>1.33</v>
      </c>
      <c r="J98" s="2">
        <v>0.33</v>
      </c>
      <c r="K98" s="2">
        <v>0.5</v>
      </c>
      <c r="L98" s="9">
        <v>5.2</v>
      </c>
      <c r="M98" s="2">
        <v>0.86</v>
      </c>
      <c r="N98" s="2">
        <v>0.01</v>
      </c>
      <c r="O98" s="2">
        <v>0.87</v>
      </c>
      <c r="P98" s="2">
        <v>0</v>
      </c>
      <c r="Q98" s="2">
        <v>0.5</v>
      </c>
      <c r="R98" s="9">
        <v>57.4</v>
      </c>
    </row>
    <row r="99" spans="3:18">
      <c r="C99" s="8">
        <v>4</v>
      </c>
      <c r="D99" s="8" t="s">
        <v>43</v>
      </c>
      <c r="E99" s="9">
        <v>0</v>
      </c>
      <c r="F99" s="9">
        <v>0</v>
      </c>
      <c r="G99" s="2">
        <v>0</v>
      </c>
      <c r="H99" s="2">
        <v>0</v>
      </c>
      <c r="I99" s="2">
        <v>1.5</v>
      </c>
      <c r="J99" s="2">
        <v>0.5</v>
      </c>
      <c r="K99" s="2">
        <v>0.5</v>
      </c>
      <c r="L99" s="9">
        <v>5.2</v>
      </c>
      <c r="M99" s="2">
        <v>0.86</v>
      </c>
      <c r="N99" s="2">
        <v>0.01</v>
      </c>
      <c r="O99" s="2">
        <v>0.87</v>
      </c>
      <c r="P99" s="2">
        <v>0</v>
      </c>
      <c r="Q99" s="2">
        <v>0.5</v>
      </c>
      <c r="R99" s="9">
        <v>57.6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E22"/>
  <sheetViews>
    <sheetView topLeftCell="A7" workbookViewId="0">
      <selection activeCell="P13" sqref="P13"/>
    </sheetView>
  </sheetViews>
  <sheetFormatPr defaultRowHeight="13.2"/>
  <sheetData>
    <row r="1" spans="1:5">
      <c r="A1" t="s">
        <v>49</v>
      </c>
      <c r="B1" t="s">
        <v>50</v>
      </c>
      <c r="C1" t="s">
        <v>51</v>
      </c>
      <c r="D1" t="s">
        <v>50</v>
      </c>
    </row>
    <row r="2" spans="1:5">
      <c r="A2" s="11">
        <v>0.5</v>
      </c>
      <c r="B2" s="11">
        <v>0.16600000000000001</v>
      </c>
      <c r="C2" s="11">
        <v>1.1000000000000001</v>
      </c>
      <c r="D2" s="11">
        <v>2</v>
      </c>
    </row>
    <row r="3" spans="1:5">
      <c r="A3" s="11">
        <v>0.9</v>
      </c>
      <c r="B3" s="11">
        <v>2</v>
      </c>
      <c r="C3" s="11">
        <v>1.2</v>
      </c>
      <c r="D3" s="11">
        <v>0.16600000000000001</v>
      </c>
    </row>
    <row r="6" spans="1:5">
      <c r="A6" t="s">
        <v>50</v>
      </c>
      <c r="B6" t="s">
        <v>52</v>
      </c>
      <c r="C6" t="s">
        <v>53</v>
      </c>
      <c r="D6" t="s">
        <v>54</v>
      </c>
      <c r="E6" t="s">
        <v>55</v>
      </c>
    </row>
    <row r="7" spans="1:5">
      <c r="A7">
        <v>0</v>
      </c>
      <c r="D7">
        <v>0.95</v>
      </c>
      <c r="E7">
        <v>0.95</v>
      </c>
    </row>
    <row r="8" spans="1:5">
      <c r="A8">
        <v>0</v>
      </c>
      <c r="D8">
        <v>0</v>
      </c>
      <c r="E8">
        <v>0</v>
      </c>
    </row>
    <row r="9" spans="1:5">
      <c r="A9">
        <v>0.15</v>
      </c>
      <c r="D9">
        <v>0</v>
      </c>
      <c r="E9">
        <v>0</v>
      </c>
    </row>
    <row r="10" spans="1:5">
      <c r="A10">
        <v>0.15</v>
      </c>
      <c r="D10">
        <v>0.9</v>
      </c>
      <c r="E10">
        <v>0</v>
      </c>
    </row>
    <row r="11" spans="1:5">
      <c r="A11">
        <v>0.16600000000000001</v>
      </c>
      <c r="B11">
        <v>0</v>
      </c>
      <c r="C11">
        <v>1.4</v>
      </c>
      <c r="D11">
        <v>0.9</v>
      </c>
      <c r="E11">
        <v>8.9999999999999993E-3</v>
      </c>
    </row>
    <row r="12" spans="1:5">
      <c r="A12">
        <v>0.16600000000000001</v>
      </c>
      <c r="B12">
        <v>0.5</v>
      </c>
      <c r="C12">
        <v>1.2</v>
      </c>
      <c r="D12">
        <v>0.9</v>
      </c>
      <c r="E12">
        <v>8.9999999999999993E-3</v>
      </c>
    </row>
    <row r="13" spans="1:5">
      <c r="A13">
        <v>0.999</v>
      </c>
      <c r="B13">
        <v>0.5</v>
      </c>
      <c r="C13">
        <v>1.2</v>
      </c>
      <c r="D13">
        <v>0.9</v>
      </c>
      <c r="E13">
        <v>0.47755999999999998</v>
      </c>
    </row>
    <row r="14" spans="1:5">
      <c r="A14">
        <v>1</v>
      </c>
      <c r="B14">
        <v>0.5</v>
      </c>
      <c r="C14">
        <v>1.1000000000000001</v>
      </c>
      <c r="D14">
        <v>0.9</v>
      </c>
      <c r="E14">
        <v>0.47813</v>
      </c>
    </row>
    <row r="15" spans="1:5">
      <c r="A15">
        <v>1.75</v>
      </c>
      <c r="B15">
        <v>0.5</v>
      </c>
      <c r="C15">
        <v>1.1000000000000001</v>
      </c>
      <c r="D15">
        <v>0.9</v>
      </c>
      <c r="E15">
        <v>0.9</v>
      </c>
    </row>
    <row r="16" spans="1:5">
      <c r="A16">
        <v>1.9990000000000001</v>
      </c>
      <c r="B16">
        <v>0.5</v>
      </c>
      <c r="C16">
        <v>1.1000000000000001</v>
      </c>
      <c r="D16">
        <v>0.9</v>
      </c>
      <c r="E16">
        <v>0.9</v>
      </c>
    </row>
    <row r="17" spans="1:5">
      <c r="A17">
        <v>2</v>
      </c>
      <c r="B17">
        <v>0.88</v>
      </c>
      <c r="C17">
        <v>1.1000000000000001</v>
      </c>
      <c r="D17">
        <v>0.9</v>
      </c>
      <c r="E17">
        <v>0.9</v>
      </c>
    </row>
    <row r="18" spans="1:5">
      <c r="A18">
        <v>2.5</v>
      </c>
      <c r="B18">
        <v>0.88</v>
      </c>
      <c r="C18">
        <v>1.1000000000000001</v>
      </c>
      <c r="D18">
        <v>0.9</v>
      </c>
      <c r="E18">
        <v>0.9</v>
      </c>
    </row>
    <row r="20" spans="1:5">
      <c r="A20" t="s">
        <v>56</v>
      </c>
    </row>
    <row r="21" spans="1:5">
      <c r="A21">
        <v>0.15</v>
      </c>
      <c r="B21">
        <v>0</v>
      </c>
    </row>
    <row r="22" spans="1:5">
      <c r="A22">
        <v>0.66669999999999996</v>
      </c>
      <c r="B22">
        <v>0.8</v>
      </c>
    </row>
  </sheetData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D36"/>
  <sheetViews>
    <sheetView workbookViewId="0">
      <selection activeCell="E3" sqref="E3"/>
    </sheetView>
  </sheetViews>
  <sheetFormatPr defaultRowHeight="13.2"/>
  <cols>
    <col min="1" max="1" width="11" customWidth="1"/>
    <col min="257" max="257" width="11" customWidth="1"/>
    <col min="513" max="513" width="11" customWidth="1"/>
    <col min="769" max="769" width="11" customWidth="1"/>
    <col min="1025" max="1025" width="11" customWidth="1"/>
    <col min="1281" max="1281" width="11" customWidth="1"/>
    <col min="1537" max="1537" width="11" customWidth="1"/>
    <col min="1793" max="1793" width="11" customWidth="1"/>
    <col min="2049" max="2049" width="11" customWidth="1"/>
    <col min="2305" max="2305" width="11" customWidth="1"/>
    <col min="2561" max="2561" width="11" customWidth="1"/>
    <col min="2817" max="2817" width="11" customWidth="1"/>
    <col min="3073" max="3073" width="11" customWidth="1"/>
    <col min="3329" max="3329" width="11" customWidth="1"/>
    <col min="3585" max="3585" width="11" customWidth="1"/>
    <col min="3841" max="3841" width="11" customWidth="1"/>
    <col min="4097" max="4097" width="11" customWidth="1"/>
    <col min="4353" max="4353" width="11" customWidth="1"/>
    <col min="4609" max="4609" width="11" customWidth="1"/>
    <col min="4865" max="4865" width="11" customWidth="1"/>
    <col min="5121" max="5121" width="11" customWidth="1"/>
    <col min="5377" max="5377" width="11" customWidth="1"/>
    <col min="5633" max="5633" width="11" customWidth="1"/>
    <col min="5889" max="5889" width="11" customWidth="1"/>
    <col min="6145" max="6145" width="11" customWidth="1"/>
    <col min="6401" max="6401" width="11" customWidth="1"/>
    <col min="6657" max="6657" width="11" customWidth="1"/>
    <col min="6913" max="6913" width="11" customWidth="1"/>
    <col min="7169" max="7169" width="11" customWidth="1"/>
    <col min="7425" max="7425" width="11" customWidth="1"/>
    <col min="7681" max="7681" width="11" customWidth="1"/>
    <col min="7937" max="7937" width="11" customWidth="1"/>
    <col min="8193" max="8193" width="11" customWidth="1"/>
    <col min="8449" max="8449" width="11" customWidth="1"/>
    <col min="8705" max="8705" width="11" customWidth="1"/>
    <col min="8961" max="8961" width="11" customWidth="1"/>
    <col min="9217" max="9217" width="11" customWidth="1"/>
    <col min="9473" max="9473" width="11" customWidth="1"/>
    <col min="9729" max="9729" width="11" customWidth="1"/>
    <col min="9985" max="9985" width="11" customWidth="1"/>
    <col min="10241" max="10241" width="11" customWidth="1"/>
    <col min="10497" max="10497" width="11" customWidth="1"/>
    <col min="10753" max="10753" width="11" customWidth="1"/>
    <col min="11009" max="11009" width="11" customWidth="1"/>
    <col min="11265" max="11265" width="11" customWidth="1"/>
    <col min="11521" max="11521" width="11" customWidth="1"/>
    <col min="11777" max="11777" width="11" customWidth="1"/>
    <col min="12033" max="12033" width="11" customWidth="1"/>
    <col min="12289" max="12289" width="11" customWidth="1"/>
    <col min="12545" max="12545" width="11" customWidth="1"/>
    <col min="12801" max="12801" width="11" customWidth="1"/>
    <col min="13057" max="13057" width="11" customWidth="1"/>
    <col min="13313" max="13313" width="11" customWidth="1"/>
    <col min="13569" max="13569" width="11" customWidth="1"/>
    <col min="13825" max="13825" width="11" customWidth="1"/>
    <col min="14081" max="14081" width="11" customWidth="1"/>
    <col min="14337" max="14337" width="11" customWidth="1"/>
    <col min="14593" max="14593" width="11" customWidth="1"/>
    <col min="14849" max="14849" width="11" customWidth="1"/>
    <col min="15105" max="15105" width="11" customWidth="1"/>
    <col min="15361" max="15361" width="11" customWidth="1"/>
    <col min="15617" max="15617" width="11" customWidth="1"/>
    <col min="15873" max="15873" width="11" customWidth="1"/>
    <col min="16129" max="16129" width="11" customWidth="1"/>
  </cols>
  <sheetData>
    <row r="1" spans="1:4">
      <c r="A1" t="s">
        <v>57</v>
      </c>
      <c r="B1" s="4" t="s">
        <v>64</v>
      </c>
    </row>
    <row r="2" spans="1:4">
      <c r="A2" t="s">
        <v>58</v>
      </c>
      <c r="B2">
        <v>40</v>
      </c>
    </row>
    <row r="3" spans="1:4">
      <c r="A3" s="12" t="s">
        <v>59</v>
      </c>
      <c r="B3" s="12" t="s">
        <v>60</v>
      </c>
      <c r="C3" s="12" t="s">
        <v>61</v>
      </c>
    </row>
    <row r="4" spans="1:4">
      <c r="A4" s="11">
        <v>2</v>
      </c>
      <c r="B4">
        <f>A4*B$2</f>
        <v>80</v>
      </c>
      <c r="C4" s="11">
        <v>300</v>
      </c>
    </row>
    <row r="5" spans="1:4">
      <c r="A5" s="11">
        <v>2.2000000000000002</v>
      </c>
      <c r="B5">
        <f t="shared" ref="B5:B11" si="0">A5*B$2</f>
        <v>88</v>
      </c>
      <c r="C5" s="11">
        <v>20</v>
      </c>
    </row>
    <row r="6" spans="1:4">
      <c r="A6" s="11">
        <v>3</v>
      </c>
      <c r="B6">
        <f t="shared" si="0"/>
        <v>120</v>
      </c>
      <c r="C6" s="11">
        <v>4</v>
      </c>
    </row>
    <row r="7" spans="1:4">
      <c r="A7" s="11">
        <v>4</v>
      </c>
      <c r="B7">
        <f t="shared" si="0"/>
        <v>160</v>
      </c>
      <c r="C7" s="11">
        <v>1.3</v>
      </c>
    </row>
    <row r="8" spans="1:4">
      <c r="A8" s="11">
        <v>6</v>
      </c>
      <c r="B8">
        <f t="shared" si="0"/>
        <v>240</v>
      </c>
      <c r="C8" s="11">
        <v>0.41</v>
      </c>
    </row>
    <row r="9" spans="1:4">
      <c r="A9" s="11">
        <v>30</v>
      </c>
      <c r="B9">
        <f t="shared" si="0"/>
        <v>1200</v>
      </c>
      <c r="C9" s="11">
        <v>0.02</v>
      </c>
    </row>
    <row r="10" spans="1:4">
      <c r="A10" s="11">
        <v>50</v>
      </c>
      <c r="B10">
        <f t="shared" si="0"/>
        <v>2000</v>
      </c>
      <c r="C10" s="11">
        <v>1.4E-2</v>
      </c>
    </row>
    <row r="11" spans="1:4">
      <c r="A11" s="11">
        <v>250</v>
      </c>
      <c r="B11">
        <f t="shared" si="0"/>
        <v>10000</v>
      </c>
      <c r="C11" s="11">
        <v>1.4E-2</v>
      </c>
    </row>
    <row r="13" spans="1:4">
      <c r="A13" t="s">
        <v>62</v>
      </c>
    </row>
    <row r="14" spans="1:4">
      <c r="A14" t="s">
        <v>58</v>
      </c>
      <c r="B14">
        <v>300</v>
      </c>
      <c r="D14">
        <v>280</v>
      </c>
    </row>
    <row r="15" spans="1:4">
      <c r="A15" s="12" t="s">
        <v>59</v>
      </c>
      <c r="B15" s="12" t="s">
        <v>60</v>
      </c>
      <c r="C15" s="12" t="s">
        <v>61</v>
      </c>
    </row>
    <row r="16" spans="1:4">
      <c r="A16">
        <v>1</v>
      </c>
      <c r="B16">
        <f>A16*B$14</f>
        <v>300</v>
      </c>
      <c r="C16">
        <v>6.3</v>
      </c>
      <c r="D16">
        <f>A16*D$14</f>
        <v>280</v>
      </c>
    </row>
    <row r="17" spans="1:4">
      <c r="A17">
        <v>1.5</v>
      </c>
      <c r="B17">
        <f t="shared" ref="B17:B23" si="1">A17*B$14</f>
        <v>450</v>
      </c>
      <c r="C17">
        <v>2.2000000000000002</v>
      </c>
      <c r="D17">
        <f t="shared" ref="D17:D23" si="2">A17*D$14</f>
        <v>420</v>
      </c>
    </row>
    <row r="18" spans="1:4">
      <c r="A18">
        <v>8</v>
      </c>
      <c r="B18">
        <f t="shared" si="1"/>
        <v>2400</v>
      </c>
      <c r="C18">
        <v>0.06</v>
      </c>
      <c r="D18">
        <f t="shared" si="2"/>
        <v>2240</v>
      </c>
    </row>
    <row r="19" spans="1:4">
      <c r="A19">
        <v>10</v>
      </c>
      <c r="B19">
        <f t="shared" si="1"/>
        <v>3000</v>
      </c>
      <c r="C19">
        <v>0.04</v>
      </c>
      <c r="D19">
        <f t="shared" si="2"/>
        <v>2800</v>
      </c>
    </row>
    <row r="20" spans="1:4">
      <c r="A20">
        <v>15</v>
      </c>
      <c r="B20">
        <f t="shared" si="1"/>
        <v>4500</v>
      </c>
      <c r="C20">
        <v>0.02</v>
      </c>
      <c r="D20">
        <f t="shared" si="2"/>
        <v>4200</v>
      </c>
    </row>
    <row r="21" spans="1:4">
      <c r="A21">
        <v>20</v>
      </c>
      <c r="B21">
        <f t="shared" si="1"/>
        <v>6000</v>
      </c>
      <c r="C21">
        <v>1.2E-2</v>
      </c>
      <c r="D21">
        <f t="shared" si="2"/>
        <v>5600</v>
      </c>
    </row>
    <row r="22" spans="1:4">
      <c r="A22">
        <v>30</v>
      </c>
      <c r="B22">
        <f t="shared" si="1"/>
        <v>9000</v>
      </c>
      <c r="C22">
        <v>1.0999999999999999E-2</v>
      </c>
      <c r="D22">
        <f t="shared" si="2"/>
        <v>8400</v>
      </c>
    </row>
    <row r="23" spans="1:4">
      <c r="A23">
        <v>100</v>
      </c>
      <c r="B23">
        <f t="shared" si="1"/>
        <v>30000</v>
      </c>
      <c r="C23">
        <v>1.0999999999999999E-2</v>
      </c>
      <c r="D23">
        <f t="shared" si="2"/>
        <v>28000</v>
      </c>
    </row>
    <row r="25" spans="1:4">
      <c r="A25" t="s">
        <v>63</v>
      </c>
    </row>
    <row r="26" spans="1:4">
      <c r="A26" t="s">
        <v>58</v>
      </c>
      <c r="B26">
        <v>560</v>
      </c>
      <c r="D26">
        <v>320</v>
      </c>
    </row>
    <row r="27" spans="1:4">
      <c r="A27" s="12" t="s">
        <v>59</v>
      </c>
      <c r="B27" s="12" t="s">
        <v>60</v>
      </c>
      <c r="C27" s="12" t="s">
        <v>61</v>
      </c>
    </row>
    <row r="28" spans="1:4">
      <c r="A28">
        <v>1</v>
      </c>
      <c r="B28">
        <f>A28*B$26</f>
        <v>560</v>
      </c>
      <c r="C28">
        <v>25</v>
      </c>
      <c r="D28">
        <f>A28*D$26</f>
        <v>320</v>
      </c>
    </row>
    <row r="29" spans="1:4">
      <c r="A29">
        <v>1.3</v>
      </c>
      <c r="B29">
        <f t="shared" ref="B29:B36" si="3">A29*B$26</f>
        <v>728</v>
      </c>
      <c r="C29">
        <v>8</v>
      </c>
      <c r="D29">
        <f t="shared" ref="D29:D36" si="4">A29*D$26</f>
        <v>416</v>
      </c>
    </row>
    <row r="30" spans="1:4">
      <c r="A30">
        <v>1.5</v>
      </c>
      <c r="B30">
        <f t="shared" si="3"/>
        <v>840</v>
      </c>
      <c r="C30">
        <v>4.5</v>
      </c>
      <c r="D30">
        <f t="shared" si="4"/>
        <v>480</v>
      </c>
    </row>
    <row r="31" spans="1:4">
      <c r="A31">
        <v>4</v>
      </c>
      <c r="B31">
        <f t="shared" si="3"/>
        <v>2240</v>
      </c>
      <c r="C31">
        <v>0.9</v>
      </c>
      <c r="D31">
        <f t="shared" si="4"/>
        <v>1280</v>
      </c>
    </row>
    <row r="32" spans="1:4">
      <c r="A32">
        <v>9</v>
      </c>
      <c r="B32">
        <f t="shared" si="3"/>
        <v>5040</v>
      </c>
      <c r="C32">
        <v>0.12</v>
      </c>
      <c r="D32">
        <f t="shared" si="4"/>
        <v>2880</v>
      </c>
    </row>
    <row r="33" spans="1:4">
      <c r="A33">
        <v>13</v>
      </c>
      <c r="B33">
        <f t="shared" si="3"/>
        <v>7280</v>
      </c>
      <c r="C33">
        <v>2.5000000000000001E-2</v>
      </c>
      <c r="D33">
        <f t="shared" si="4"/>
        <v>4160</v>
      </c>
    </row>
    <row r="34" spans="1:4">
      <c r="A34">
        <v>15</v>
      </c>
      <c r="B34">
        <f t="shared" si="3"/>
        <v>8400</v>
      </c>
      <c r="C34">
        <v>1.7999999999999999E-2</v>
      </c>
      <c r="D34">
        <f t="shared" si="4"/>
        <v>4800</v>
      </c>
    </row>
    <row r="35" spans="1:4">
      <c r="A35">
        <v>20</v>
      </c>
      <c r="B35">
        <f t="shared" si="3"/>
        <v>11200</v>
      </c>
      <c r="C35">
        <v>1.4999999999999999E-2</v>
      </c>
      <c r="D35">
        <f t="shared" si="4"/>
        <v>6400</v>
      </c>
    </row>
    <row r="36" spans="1:4">
      <c r="A36">
        <v>100</v>
      </c>
      <c r="B36">
        <f t="shared" si="3"/>
        <v>56000</v>
      </c>
      <c r="C36">
        <v>1.4999999999999999E-2</v>
      </c>
      <c r="D36">
        <f t="shared" si="4"/>
        <v>32000</v>
      </c>
    </row>
  </sheetData>
  <pageMargins left="0.75" right="0.75" top="1" bottom="1" header="0.5" footer="0.5"/>
  <pageSetup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Configuration</vt:lpstr>
      <vt:lpstr>Faults</vt:lpstr>
      <vt:lpstr>Relays</vt:lpstr>
      <vt:lpstr>1547</vt:lpstr>
      <vt:lpstr>TCC</vt:lpstr>
      <vt:lpstr>BaseFile</vt:lpstr>
      <vt:lpstr>DataPath</vt:lpstr>
    </vt:vector>
  </TitlesOfParts>
  <Company>EnerNex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McDermott</dc:creator>
  <cp:lastModifiedBy>Tom</cp:lastModifiedBy>
  <cp:lastPrinted>2009-01-20T18:28:48Z</cp:lastPrinted>
  <dcterms:created xsi:type="dcterms:W3CDTF">2008-08-05T20:02:22Z</dcterms:created>
  <dcterms:modified xsi:type="dcterms:W3CDTF">2011-03-23T01:12:31Z</dcterms:modified>
</cp:coreProperties>
</file>